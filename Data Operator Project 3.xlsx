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i\Desktop\"/>
    </mc:Choice>
  </mc:AlternateContent>
  <xr:revisionPtr revIDLastSave="0" documentId="8_{FEB4518B-A3A2-4F3A-9518-3252A8A33D17}" xr6:coauthVersionLast="47" xr6:coauthVersionMax="47" xr10:uidLastSave="{00000000-0000-0000-0000-000000000000}"/>
  <bookViews>
    <workbookView xWindow="-108" yWindow="-108" windowWidth="23256" windowHeight="12456" xr2:uid="{893E7FBE-5440-47F0-9E26-52EF123DB956}"/>
  </bookViews>
  <sheets>
    <sheet name="Stock Data " sheetId="1" r:id="rId1"/>
    <sheet name="PIVOT TABLE" sheetId="4" r:id="rId2"/>
    <sheet name="Product Master" sheetId="2" r:id="rId3"/>
    <sheet name="MIS Report" sheetId="3" r:id="rId4"/>
  </sheets>
  <definedNames>
    <definedName name="Slicer_CURRENT_STOCK">#N/A</definedName>
    <definedName name="Slicer_FETCH_CATEGORY">#N/A</definedName>
    <definedName name="Slicer_FETCH_CATEGORY1">#N/A</definedName>
    <definedName name="Slicer_PRODUCT_NAME">#N/A</definedName>
    <definedName name="Slicer_PRODUCT_NAME1">#N/A</definedName>
    <definedName name="Slicer_PRODUCT_NAME2">#N/A</definedName>
  </definedNames>
  <calcPr calcId="191029"/>
  <pivotCaches>
    <pivotCache cacheId="0" r:id="rId5"/>
  </pivotCaches>
  <fileRecoveryPr repairLoad="1"/>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5" i="3" l="1"/>
  <c r="B3" i="3"/>
  <c r="B2" i="3"/>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G39" i="1"/>
  <c r="H3" i="1"/>
  <c r="H4" i="1"/>
  <c r="H5" i="1"/>
  <c r="H6" i="1"/>
  <c r="H7" i="1"/>
  <c r="H8" i="1"/>
  <c r="H9" i="1"/>
  <c r="H10" i="1"/>
  <c r="H11" i="1"/>
  <c r="H2" i="1"/>
  <c r="G51" i="1"/>
  <c r="G50" i="1"/>
  <c r="G49" i="1"/>
  <c r="G48" i="1"/>
  <c r="G47" i="1"/>
  <c r="G46" i="1"/>
  <c r="G45" i="1"/>
  <c r="G44" i="1"/>
  <c r="G43" i="1"/>
  <c r="G42" i="1"/>
  <c r="G41" i="1"/>
  <c r="G40" i="1"/>
  <c r="G38" i="1"/>
  <c r="G37" i="1"/>
  <c r="G36" i="1"/>
  <c r="G35" i="1"/>
  <c r="G34" i="1"/>
  <c r="G33" i="1"/>
  <c r="G32" i="1"/>
  <c r="G31" i="1"/>
  <c r="G30" i="1"/>
  <c r="G29" i="1"/>
  <c r="G28" i="1"/>
  <c r="G27" i="1"/>
  <c r="G26" i="1"/>
  <c r="G25" i="1"/>
  <c r="G24" i="1"/>
  <c r="G23" i="1"/>
  <c r="G22" i="1"/>
  <c r="G21" i="1"/>
  <c r="G20" i="1"/>
  <c r="G19" i="1"/>
  <c r="G18" i="1"/>
  <c r="G17" i="1"/>
  <c r="G16" i="1"/>
  <c r="G15" i="1"/>
  <c r="G14" i="1"/>
  <c r="G13" i="1"/>
  <c r="G2" i="1"/>
  <c r="G12" i="1"/>
  <c r="G3" i="1"/>
  <c r="G4" i="1"/>
  <c r="G5" i="1"/>
  <c r="G6" i="1"/>
  <c r="G7" i="1"/>
  <c r="G8" i="1"/>
  <c r="G9" i="1"/>
  <c r="G10" i="1"/>
  <c r="G11"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2" i="1"/>
</calcChain>
</file>

<file path=xl/sharedStrings.xml><?xml version="1.0" encoding="utf-8"?>
<sst xmlns="http://schemas.openxmlformats.org/spreadsheetml/2006/main" count="181" uniqueCount="66">
  <si>
    <t>DATE</t>
  </si>
  <si>
    <t>PRODUCT ID</t>
  </si>
  <si>
    <t>PRODUCT NAME</t>
  </si>
  <si>
    <t>IN QUANTITY</t>
  </si>
  <si>
    <t>OUT QUANTITY</t>
  </si>
  <si>
    <t>CURRENT STOCK</t>
  </si>
  <si>
    <t>P001</t>
  </si>
  <si>
    <t>Rice</t>
  </si>
  <si>
    <t>P002</t>
  </si>
  <si>
    <t>Sugar</t>
  </si>
  <si>
    <t>P003</t>
  </si>
  <si>
    <t>Oil</t>
  </si>
  <si>
    <t>P004</t>
  </si>
  <si>
    <t>Biscuit</t>
  </si>
  <si>
    <t>P005</t>
  </si>
  <si>
    <t>Juice</t>
  </si>
  <si>
    <t>P006</t>
  </si>
  <si>
    <t>Soap</t>
  </si>
  <si>
    <t>P007</t>
  </si>
  <si>
    <t>Shampoo</t>
  </si>
  <si>
    <t>P008</t>
  </si>
  <si>
    <t>Tea</t>
  </si>
  <si>
    <t>P009</t>
  </si>
  <si>
    <t>Coffee</t>
  </si>
  <si>
    <t>P010</t>
  </si>
  <si>
    <t>Milk</t>
  </si>
  <si>
    <t>13/4/2026</t>
  </si>
  <si>
    <t>14/4/2026</t>
  </si>
  <si>
    <t>15/4/2026</t>
  </si>
  <si>
    <t>16/4/2026</t>
  </si>
  <si>
    <t>17/4/2026</t>
  </si>
  <si>
    <t>18/4/2026</t>
  </si>
  <si>
    <t>19/4/2026</t>
  </si>
  <si>
    <t>20/4/2026</t>
  </si>
  <si>
    <t>21/4/2026</t>
  </si>
  <si>
    <t>22/4/2026</t>
  </si>
  <si>
    <t>23/4/2026</t>
  </si>
  <si>
    <t>24/4/2026</t>
  </si>
  <si>
    <t>25/4/2026</t>
  </si>
  <si>
    <t>CATEGORY</t>
  </si>
  <si>
    <t>PRICE</t>
  </si>
  <si>
    <t>Grocery</t>
  </si>
  <si>
    <t>Snacks</t>
  </si>
  <si>
    <t>Beverages</t>
  </si>
  <si>
    <t>Personal Care</t>
  </si>
  <si>
    <t>Dairy</t>
  </si>
  <si>
    <t>FETCH CATEGORY</t>
  </si>
  <si>
    <t xml:space="preserve">FETCH PRICE </t>
  </si>
  <si>
    <t>STOCK STATUS</t>
  </si>
  <si>
    <t>KPI</t>
  </si>
  <si>
    <t>TOTAL STOCK</t>
  </si>
  <si>
    <t>TOTAL  STOCK VALUE</t>
  </si>
  <si>
    <t>LOW STOCK COUNT</t>
  </si>
  <si>
    <t>Row Labels</t>
  </si>
  <si>
    <t>Grand Total</t>
  </si>
  <si>
    <t>Sum of CURRENT STOCK</t>
  </si>
  <si>
    <t>STOCK VALUE BY CATEGORY</t>
  </si>
  <si>
    <t>OK</t>
  </si>
  <si>
    <t>Count of STOCK STATUS</t>
  </si>
  <si>
    <t>STOCK STATUS COUNT</t>
  </si>
  <si>
    <t>PRODUCT WISE STOCK</t>
  </si>
  <si>
    <t>TOTAL PRODUCTS</t>
  </si>
  <si>
    <t>STOCK VALUE BY CATEGORY SLICER</t>
  </si>
  <si>
    <t>STOCK STATUS COUNT SLICER</t>
  </si>
  <si>
    <t>PRODUCT WISE STOCK SLICER</t>
  </si>
  <si>
    <t>PROJECT 3: Inventory &amp; Stock Management MIS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</si>
</sst>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rgb="FFFF0000"/>
      <name val="Calibri"/>
      <family val="2"/>
      <scheme val="minor"/>
    </font>
    <font>
      <b/>
      <sz val="11"/>
      <color rgb="FFFF0000"/>
      <name val="Calibri"/>
      <family val="2"/>
      <scheme val="minor"/>
    </font>
    <font>
      <sz val="11"/>
      <color theme="1" tint="4.9989318521683403E-2"/>
      <name val="Calibri"/>
      <family val="2"/>
      <scheme val="minor"/>
    </font>
    <font>
      <b/>
      <sz val="11"/>
      <color theme="5" tint="-0.249977111117893"/>
      <name val="Calibri"/>
      <family val="2"/>
      <scheme val="minor"/>
    </font>
    <font>
      <sz val="11"/>
      <color theme="5" tint="-0.249977111117893"/>
      <name val="Calibri"/>
      <family val="2"/>
      <scheme val="minor"/>
    </font>
    <font>
      <sz val="11"/>
      <color theme="1" tint="0.14999847407452621"/>
      <name val="Calibri"/>
      <family val="2"/>
      <scheme val="minor"/>
    </font>
    <font>
      <b/>
      <i/>
      <u/>
      <sz val="11"/>
      <color rgb="FFFF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14" fontId="0" fillId="0" borderId="0" xfId="0" applyNumberFormat="1"/>
    <xf numFmtId="0" fontId="2" fillId="2" borderId="0" xfId="0" applyFont="1" applyFill="1"/>
    <xf numFmtId="14" fontId="3" fillId="3" borderId="1" xfId="0" applyNumberFormat="1" applyFont="1" applyFill="1" applyBorder="1"/>
    <xf numFmtId="0" fontId="3" fillId="3" borderId="1" xfId="0" applyFont="1" applyFill="1" applyBorder="1"/>
    <xf numFmtId="0" fontId="1" fillId="2" borderId="1" xfId="0" applyFont="1" applyFill="1" applyBorder="1"/>
    <xf numFmtId="0" fontId="0" fillId="0" borderId="1" xfId="0" pivotButton="1" applyBorder="1"/>
    <xf numFmtId="0" fontId="0" fillId="0" borderId="1" xfId="0" applyBorder="1"/>
    <xf numFmtId="0" fontId="0" fillId="0" borderId="1" xfId="0" applyBorder="1" applyAlignment="1">
      <alignment horizontal="left"/>
    </xf>
    <xf numFmtId="0" fontId="4" fillId="3" borderId="1" xfId="0" applyFont="1" applyFill="1" applyBorder="1"/>
    <xf numFmtId="0" fontId="5" fillId="3" borderId="1" xfId="0" applyFont="1" applyFill="1" applyBorder="1"/>
    <xf numFmtId="14" fontId="6" fillId="3" borderId="1" xfId="0" applyNumberFormat="1" applyFont="1" applyFill="1" applyBorder="1"/>
    <xf numFmtId="0" fontId="6" fillId="3" borderId="1" xfId="0" applyFont="1" applyFill="1" applyBorder="1"/>
    <xf numFmtId="14" fontId="1" fillId="2" borderId="1" xfId="0" applyNumberFormat="1" applyFont="1" applyFill="1" applyBorder="1"/>
    <xf numFmtId="0" fontId="7" fillId="2" borderId="0" xfId="0" applyFont="1" applyFill="1"/>
  </cellXfs>
  <cellStyles count="1">
    <cellStyle name="Normal" xfId="0" builtinId="0"/>
  </cellStyles>
  <dxfs count="18">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Operator Project 3.xlsx]PIVOT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STOCK VALUE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TABLE'!$A$4:$A$5</c:f>
              <c:strCache>
                <c:ptCount val="1"/>
                <c:pt idx="0">
                  <c:v>Grocery</c:v>
                </c:pt>
              </c:strCache>
            </c:strRef>
          </c:cat>
          <c:val>
            <c:numRef>
              <c:f>'PIVOT TABLE'!$B$4:$B$5</c:f>
              <c:numCache>
                <c:formatCode>General</c:formatCode>
                <c:ptCount val="1"/>
                <c:pt idx="0">
                  <c:v>220</c:v>
                </c:pt>
              </c:numCache>
            </c:numRef>
          </c:val>
          <c:extLst>
            <c:ext xmlns:c16="http://schemas.microsoft.com/office/drawing/2014/chart" uri="{C3380CC4-5D6E-409C-BE32-E72D297353CC}">
              <c16:uniqueId val="{00000000-D33B-4A17-A907-498F35765AA7}"/>
            </c:ext>
          </c:extLst>
        </c:ser>
        <c:dLbls>
          <c:showLegendKey val="0"/>
          <c:showVal val="0"/>
          <c:showCatName val="0"/>
          <c:showSerName val="0"/>
          <c:showPercent val="0"/>
          <c:showBubbleSize val="0"/>
        </c:dLbls>
        <c:gapWidth val="150"/>
        <c:overlap val="100"/>
        <c:axId val="972584224"/>
        <c:axId val="972580864"/>
      </c:barChart>
      <c:catAx>
        <c:axId val="97258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580864"/>
        <c:crosses val="autoZero"/>
        <c:auto val="1"/>
        <c:lblAlgn val="ctr"/>
        <c:lblOffset val="100"/>
        <c:noMultiLvlLbl val="0"/>
      </c:catAx>
      <c:valAx>
        <c:axId val="972580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58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Operator Project 3.xlsx]PIVOT TABLE!PivotTable3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STOCK STATUS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s>
    <c:plotArea>
      <c:layout>
        <c:manualLayout>
          <c:layoutTarget val="inner"/>
          <c:xMode val="edge"/>
          <c:yMode val="edge"/>
          <c:x val="0.25329111986001751"/>
          <c:y val="0.28180336832895886"/>
          <c:w val="0.41147353455818025"/>
          <c:h val="0.68578922426363376"/>
        </c:manualLayout>
      </c:layout>
      <c:pieChart>
        <c:varyColors val="1"/>
        <c:ser>
          <c:idx val="0"/>
          <c:order val="0"/>
          <c:tx>
            <c:strRef>
              <c:f>'PIVOT TABLE'!$D$3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4D-487F-BCD9-A07E2BA81652}"/>
              </c:ext>
            </c:extLst>
          </c:dPt>
          <c:cat>
            <c:strRef>
              <c:f>'PIVOT TABLE'!$C$4:$C$5</c:f>
              <c:strCache>
                <c:ptCount val="1"/>
                <c:pt idx="0">
                  <c:v>OK</c:v>
                </c:pt>
              </c:strCache>
            </c:strRef>
          </c:cat>
          <c:val>
            <c:numRef>
              <c:f>'PIVOT TABLE'!$D$4:$D$5</c:f>
              <c:numCache>
                <c:formatCode>General</c:formatCode>
                <c:ptCount val="1"/>
                <c:pt idx="0">
                  <c:v>5</c:v>
                </c:pt>
              </c:numCache>
            </c:numRef>
          </c:val>
          <c:extLst>
            <c:ext xmlns:c16="http://schemas.microsoft.com/office/drawing/2014/chart" uri="{C3380CC4-5D6E-409C-BE32-E72D297353CC}">
              <c16:uniqueId val="{00000002-1D4D-487F-BCD9-A07E2BA8165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0</xdr:rowOff>
    </xdr:from>
    <xdr:to>
      <xdr:col>4</xdr:col>
      <xdr:colOff>236220</xdr:colOff>
      <xdr:row>24</xdr:row>
      <xdr:rowOff>0</xdr:rowOff>
    </xdr:to>
    <xdr:graphicFrame macro="">
      <xdr:nvGraphicFramePr>
        <xdr:cNvPr id="2" name="Chart 1">
          <a:extLst>
            <a:ext uri="{FF2B5EF4-FFF2-40B4-BE49-F238E27FC236}">
              <a16:creationId xmlns:a16="http://schemas.microsoft.com/office/drawing/2014/main" id="{20D47A74-F2F8-4460-B07E-7A476CC29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304800</xdr:colOff>
      <xdr:row>8</xdr:row>
      <xdr:rowOff>167640</xdr:rowOff>
    </xdr:from>
    <xdr:to>
      <xdr:col>10</xdr:col>
      <xdr:colOff>144780</xdr:colOff>
      <xdr:row>23</xdr:row>
      <xdr:rowOff>167640</xdr:rowOff>
    </xdr:to>
    <xdr:graphicFrame macro="">
      <xdr:nvGraphicFramePr>
        <xdr:cNvPr id="3" name="Chart 2">
          <a:extLst>
            <a:ext uri="{FF2B5EF4-FFF2-40B4-BE49-F238E27FC236}">
              <a16:creationId xmlns:a16="http://schemas.microsoft.com/office/drawing/2014/main" id="{CB7CE1FC-453C-4406-82B1-799D2477F6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60960</xdr:colOff>
      <xdr:row>26</xdr:row>
      <xdr:rowOff>22860</xdr:rowOff>
    </xdr:from>
    <xdr:to>
      <xdr:col>1</xdr:col>
      <xdr:colOff>472440</xdr:colOff>
      <xdr:row>39</xdr:row>
      <xdr:rowOff>112395</xdr:rowOff>
    </xdr:to>
    <mc:AlternateContent xmlns:mc="http://schemas.openxmlformats.org/markup-compatibility/2006" xmlns:a14="http://schemas.microsoft.com/office/drawing/2010/main">
      <mc:Choice Requires="a14">
        <xdr:graphicFrame macro="">
          <xdr:nvGraphicFramePr>
            <xdr:cNvPr id="4" name="FETCH CATEGORY 1">
              <a:extLst>
                <a:ext uri="{FF2B5EF4-FFF2-40B4-BE49-F238E27FC236}">
                  <a16:creationId xmlns:a16="http://schemas.microsoft.com/office/drawing/2014/main" id="{85EA559D-FBEE-43DF-8B15-F8A1AADEC9C0}"/>
                </a:ext>
              </a:extLst>
            </xdr:cNvPr>
            <xdr:cNvGraphicFramePr/>
          </xdr:nvGraphicFramePr>
          <xdr:xfrm>
            <a:off x="0" y="0"/>
            <a:ext cx="0" cy="0"/>
          </xdr:xfrm>
          <a:graphic>
            <a:graphicData uri="http://schemas.microsoft.com/office/drawing/2010/slicer">
              <sle:slicer xmlns:sle="http://schemas.microsoft.com/office/drawing/2010/slicer" name="FETCH CATEGORY 1"/>
            </a:graphicData>
          </a:graphic>
        </xdr:graphicFrame>
      </mc:Choice>
      <mc:Fallback xmlns="">
        <xdr:sp macro="" textlink="">
          <xdr:nvSpPr>
            <xdr:cNvPr id="0" name=""/>
            <xdr:cNvSpPr>
              <a:spLocks noTextEdit="1"/>
            </xdr:cNvSpPr>
          </xdr:nvSpPr>
          <xdr:spPr>
            <a:xfrm>
              <a:off x="60960" y="4825769"/>
              <a:ext cx="1831571" cy="24909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480060</xdr:colOff>
      <xdr:row>26</xdr:row>
      <xdr:rowOff>38100</xdr:rowOff>
    </xdr:from>
    <xdr:to>
      <xdr:col>2</xdr:col>
      <xdr:colOff>283143</xdr:colOff>
      <xdr:row>39</xdr:row>
      <xdr:rowOff>127635</xdr:rowOff>
    </xdr:to>
    <mc:AlternateContent xmlns:mc="http://schemas.openxmlformats.org/markup-compatibility/2006" xmlns:a14="http://schemas.microsoft.com/office/drawing/2010/main">
      <mc:Choice Requires="a14">
        <xdr:graphicFrame macro="">
          <xdr:nvGraphicFramePr>
            <xdr:cNvPr id="5" name="PRODUCT NAME 1">
              <a:extLst>
                <a:ext uri="{FF2B5EF4-FFF2-40B4-BE49-F238E27FC236}">
                  <a16:creationId xmlns:a16="http://schemas.microsoft.com/office/drawing/2014/main" id="{284C1FEC-DB0B-4E63-8D22-602EE404AE0D}"/>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mlns="">
        <xdr:sp macro="" textlink="">
          <xdr:nvSpPr>
            <xdr:cNvPr id="0" name=""/>
            <xdr:cNvSpPr>
              <a:spLocks noTextEdit="1"/>
            </xdr:cNvSpPr>
          </xdr:nvSpPr>
          <xdr:spPr>
            <a:xfrm>
              <a:off x="1900151" y="4841009"/>
              <a:ext cx="1835083" cy="24909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26</xdr:row>
      <xdr:rowOff>0</xdr:rowOff>
    </xdr:from>
    <xdr:to>
      <xdr:col>5</xdr:col>
      <xdr:colOff>769620</xdr:colOff>
      <xdr:row>39</xdr:row>
      <xdr:rowOff>89535</xdr:rowOff>
    </xdr:to>
    <mc:AlternateContent xmlns:mc="http://schemas.openxmlformats.org/markup-compatibility/2006" xmlns:a14="http://schemas.microsoft.com/office/drawing/2010/main">
      <mc:Choice Requires="a14">
        <xdr:graphicFrame macro="">
          <xdr:nvGraphicFramePr>
            <xdr:cNvPr id="6" name="FETCH CATEGORY 2">
              <a:extLst>
                <a:ext uri="{FF2B5EF4-FFF2-40B4-BE49-F238E27FC236}">
                  <a16:creationId xmlns:a16="http://schemas.microsoft.com/office/drawing/2014/main" id="{8DC8D789-73E2-4E54-AECA-2453D1B97208}"/>
                </a:ext>
              </a:extLst>
            </xdr:cNvPr>
            <xdr:cNvGraphicFramePr/>
          </xdr:nvGraphicFramePr>
          <xdr:xfrm>
            <a:off x="0" y="0"/>
            <a:ext cx="0" cy="0"/>
          </xdr:xfrm>
          <a:graphic>
            <a:graphicData uri="http://schemas.microsoft.com/office/drawing/2010/slicer">
              <sle:slicer xmlns:sle="http://schemas.microsoft.com/office/drawing/2010/slicer" name="FETCH CATEGORY 2"/>
            </a:graphicData>
          </a:graphic>
        </xdr:graphicFrame>
      </mc:Choice>
      <mc:Fallback xmlns="">
        <xdr:sp macro="" textlink="">
          <xdr:nvSpPr>
            <xdr:cNvPr id="0" name=""/>
            <xdr:cNvSpPr>
              <a:spLocks noTextEdit="1"/>
            </xdr:cNvSpPr>
          </xdr:nvSpPr>
          <xdr:spPr>
            <a:xfrm>
              <a:off x="5541818" y="4802909"/>
              <a:ext cx="1831802" cy="24909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800100</xdr:colOff>
      <xdr:row>25</xdr:row>
      <xdr:rowOff>175260</xdr:rowOff>
    </xdr:from>
    <xdr:to>
      <xdr:col>5</xdr:col>
      <xdr:colOff>2631707</xdr:colOff>
      <xdr:row>39</xdr:row>
      <xdr:rowOff>81915</xdr:rowOff>
    </xdr:to>
    <mc:AlternateContent xmlns:mc="http://schemas.openxmlformats.org/markup-compatibility/2006" xmlns:a14="http://schemas.microsoft.com/office/drawing/2010/main">
      <mc:Choice Requires="a14">
        <xdr:graphicFrame macro="">
          <xdr:nvGraphicFramePr>
            <xdr:cNvPr id="7" name="PRODUCT NAME 2">
              <a:extLst>
                <a:ext uri="{FF2B5EF4-FFF2-40B4-BE49-F238E27FC236}">
                  <a16:creationId xmlns:a16="http://schemas.microsoft.com/office/drawing/2014/main" id="{311BEA0D-13F4-4B7A-93CF-F35A4AC34FA2}"/>
                </a:ext>
              </a:extLst>
            </xdr:cNvPr>
            <xdr:cNvGraphicFramePr/>
          </xdr:nvGraphicFramePr>
          <xdr:xfrm>
            <a:off x="0" y="0"/>
            <a:ext cx="0" cy="0"/>
          </xdr:xfrm>
          <a:graphic>
            <a:graphicData uri="http://schemas.microsoft.com/office/drawing/2010/slicer">
              <sle:slicer xmlns:sle="http://schemas.microsoft.com/office/drawing/2010/slicer" name="PRODUCT NAME 2"/>
            </a:graphicData>
          </a:graphic>
        </xdr:graphicFrame>
      </mc:Choice>
      <mc:Fallback xmlns="">
        <xdr:sp macro="" textlink="">
          <xdr:nvSpPr>
            <xdr:cNvPr id="0" name=""/>
            <xdr:cNvSpPr>
              <a:spLocks noTextEdit="1"/>
            </xdr:cNvSpPr>
          </xdr:nvSpPr>
          <xdr:spPr>
            <a:xfrm>
              <a:off x="7404100" y="4793442"/>
              <a:ext cx="1831607" cy="24928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26</xdr:row>
      <xdr:rowOff>0</xdr:rowOff>
    </xdr:from>
    <xdr:to>
      <xdr:col>12</xdr:col>
      <xdr:colOff>605589</xdr:colOff>
      <xdr:row>39</xdr:row>
      <xdr:rowOff>120817</xdr:rowOff>
    </xdr:to>
    <mc:AlternateContent xmlns:mc="http://schemas.openxmlformats.org/markup-compatibility/2006" xmlns:a14="http://schemas.microsoft.com/office/drawing/2010/main">
      <mc:Choice Requires="a14">
        <xdr:graphicFrame macro="">
          <xdr:nvGraphicFramePr>
            <xdr:cNvPr id="8" name="CURRENT STOCK 1">
              <a:extLst>
                <a:ext uri="{FF2B5EF4-FFF2-40B4-BE49-F238E27FC236}">
                  <a16:creationId xmlns:a16="http://schemas.microsoft.com/office/drawing/2014/main" id="{E26C4B8F-F5D1-4A98-8B14-4526F4516472}"/>
                </a:ext>
              </a:extLst>
            </xdr:cNvPr>
            <xdr:cNvGraphicFramePr/>
          </xdr:nvGraphicFramePr>
          <xdr:xfrm>
            <a:off x="0" y="0"/>
            <a:ext cx="0" cy="0"/>
          </xdr:xfrm>
          <a:graphic>
            <a:graphicData uri="http://schemas.microsoft.com/office/drawing/2010/slicer">
              <sle:slicer xmlns:sle="http://schemas.microsoft.com/office/drawing/2010/slicer" name="CURRENT STOCK 1"/>
            </a:graphicData>
          </a:graphic>
        </xdr:graphicFrame>
      </mc:Choice>
      <mc:Fallback xmlns="">
        <xdr:sp macro="" textlink="">
          <xdr:nvSpPr>
            <xdr:cNvPr id="0" name=""/>
            <xdr:cNvSpPr>
              <a:spLocks noTextEdit="1"/>
            </xdr:cNvSpPr>
          </xdr:nvSpPr>
          <xdr:spPr>
            <a:xfrm>
              <a:off x="11776364" y="4802909"/>
              <a:ext cx="1829407" cy="25222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26</xdr:row>
      <xdr:rowOff>0</xdr:rowOff>
    </xdr:from>
    <xdr:to>
      <xdr:col>14</xdr:col>
      <xdr:colOff>4010</xdr:colOff>
      <xdr:row>39</xdr:row>
      <xdr:rowOff>120817</xdr:rowOff>
    </xdr:to>
    <mc:AlternateContent xmlns:mc="http://schemas.openxmlformats.org/markup-compatibility/2006" xmlns:a14="http://schemas.microsoft.com/office/drawing/2010/main">
      <mc:Choice Requires="a14">
        <xdr:graphicFrame macro="">
          <xdr:nvGraphicFramePr>
            <xdr:cNvPr id="9" name="PRODUCT NAME 3">
              <a:extLst>
                <a:ext uri="{FF2B5EF4-FFF2-40B4-BE49-F238E27FC236}">
                  <a16:creationId xmlns:a16="http://schemas.microsoft.com/office/drawing/2014/main" id="{D28F97F8-4A1D-4A94-95FA-6C40ABE46D7F}"/>
                </a:ext>
              </a:extLst>
            </xdr:cNvPr>
            <xdr:cNvGraphicFramePr/>
          </xdr:nvGraphicFramePr>
          <xdr:xfrm>
            <a:off x="0" y="0"/>
            <a:ext cx="0" cy="0"/>
          </xdr:xfrm>
          <a:graphic>
            <a:graphicData uri="http://schemas.microsoft.com/office/drawing/2010/slicer">
              <sle:slicer xmlns:sle="http://schemas.microsoft.com/office/drawing/2010/slicer" name="PRODUCT NAME 3"/>
            </a:graphicData>
          </a:graphic>
        </xdr:graphicFrame>
      </mc:Choice>
      <mc:Fallback xmlns="">
        <xdr:sp macro="" textlink="">
          <xdr:nvSpPr>
            <xdr:cNvPr id="0" name=""/>
            <xdr:cNvSpPr>
              <a:spLocks noTextEdit="1"/>
            </xdr:cNvSpPr>
          </xdr:nvSpPr>
          <xdr:spPr>
            <a:xfrm>
              <a:off x="13612091" y="4802909"/>
              <a:ext cx="1828192" cy="25222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 refreshedDate="46129.483879398147" createdVersion="8" refreshedVersion="8" minRefreshableVersion="3" recordCount="50" xr:uid="{77D33085-72A4-4B0C-AB2C-32280B85F93D}">
  <cacheSource type="worksheet">
    <worksheetSource ref="A1:I51" sheet="Stock Data "/>
  </cacheSource>
  <cacheFields count="9">
    <cacheField name="DATE" numFmtId="0">
      <sharedItems containsDate="1" containsMixedTypes="1" minDate="2026-01-04T00:00:00" maxDate="2026-12-05T00:00:00"/>
    </cacheField>
    <cacheField name="PRODUCT ID" numFmtId="0">
      <sharedItems/>
    </cacheField>
    <cacheField name="PRODUCT NAME" numFmtId="0">
      <sharedItems count="10">
        <s v="Rice"/>
        <s v="Sugar"/>
        <s v="Oil"/>
        <s v="Biscuit"/>
        <s v="Juice"/>
        <s v="Soap"/>
        <s v="Shampoo"/>
        <s v="Tea"/>
        <s v="Coffee"/>
        <s v="Milk"/>
      </sharedItems>
    </cacheField>
    <cacheField name="IN QUANTITY" numFmtId="0">
      <sharedItems containsSemiMixedTypes="0" containsString="0" containsNumber="1" containsInteger="1" minValue="35" maxValue="120"/>
    </cacheField>
    <cacheField name="OUT QUANTITY" numFmtId="0">
      <sharedItems containsSemiMixedTypes="0" containsString="0" containsNumber="1" containsInteger="1" minValue="5" maxValue="50"/>
    </cacheField>
    <cacheField name="CURRENT STOCK" numFmtId="0">
      <sharedItems containsSemiMixedTypes="0" containsString="0" containsNumber="1" containsInteger="1" minValue="30" maxValue="80" count="18">
        <n v="80"/>
        <n v="50"/>
        <n v="65"/>
        <n v="55"/>
        <n v="57"/>
        <n v="53"/>
        <n v="60"/>
        <n v="35"/>
        <n v="58"/>
        <n v="42"/>
        <n v="45"/>
        <n v="40"/>
        <n v="43"/>
        <n v="32"/>
        <n v="47"/>
        <n v="37"/>
        <n v="38"/>
        <n v="30"/>
      </sharedItems>
    </cacheField>
    <cacheField name="FETCH CATEGORY" numFmtId="0">
      <sharedItems count="5">
        <s v="Grocery"/>
        <s v="Snacks"/>
        <s v="Beverages"/>
        <s v="Personal Care"/>
        <s v="Dairy"/>
      </sharedItems>
    </cacheField>
    <cacheField name="FETCH PRICE " numFmtId="0">
      <sharedItems containsSemiMixedTypes="0" containsString="0" containsNumber="1" containsInteger="1" minValue="30" maxValue="250"/>
    </cacheField>
    <cacheField name="STOCK STATUS" numFmtId="0">
      <sharedItems count="1">
        <s v="OK"/>
      </sharedItems>
    </cacheField>
  </cacheFields>
  <extLst>
    <ext xmlns:x14="http://schemas.microsoft.com/office/spreadsheetml/2009/9/main" uri="{725AE2AE-9491-48be-B2B4-4EB974FC3084}">
      <x14:pivotCacheDefinition pivotCacheId="18752857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d v="2026-01-04T00:00:00"/>
    <s v="P001"/>
    <x v="0"/>
    <n v="100"/>
    <n v="20"/>
    <x v="0"/>
    <x v="0"/>
    <n v="50"/>
    <x v="0"/>
  </r>
  <r>
    <d v="2026-01-04T00:00:00"/>
    <s v="P002"/>
    <x v="1"/>
    <n v="80"/>
    <n v="30"/>
    <x v="1"/>
    <x v="0"/>
    <n v="45"/>
    <x v="0"/>
  </r>
  <r>
    <d v="2026-01-04T00:00:00"/>
    <s v="P003"/>
    <x v="2"/>
    <n v="60"/>
    <n v="10"/>
    <x v="1"/>
    <x v="0"/>
    <n v="120"/>
    <x v="0"/>
  </r>
  <r>
    <d v="2026-02-04T00:00:00"/>
    <s v="P004"/>
    <x v="3"/>
    <n v="90"/>
    <n v="25"/>
    <x v="2"/>
    <x v="1"/>
    <n v="30"/>
    <x v="0"/>
  </r>
  <r>
    <d v="2026-02-04T00:00:00"/>
    <s v="P005"/>
    <x v="4"/>
    <n v="70"/>
    <n v="15"/>
    <x v="3"/>
    <x v="2"/>
    <n v="60"/>
    <x v="0"/>
  </r>
  <r>
    <d v="2026-03-04T00:00:00"/>
    <s v="P006"/>
    <x v="5"/>
    <n v="120"/>
    <n v="40"/>
    <x v="0"/>
    <x v="3"/>
    <n v="40"/>
    <x v="0"/>
  </r>
  <r>
    <d v="2026-03-04T00:00:00"/>
    <s v="P007"/>
    <x v="6"/>
    <n v="85"/>
    <n v="20"/>
    <x v="2"/>
    <x v="3"/>
    <n v="150"/>
    <x v="0"/>
  </r>
  <r>
    <d v="2026-04-04T00:00:00"/>
    <s v="P008"/>
    <x v="7"/>
    <n v="75"/>
    <n v="18"/>
    <x v="4"/>
    <x v="0"/>
    <n v="200"/>
    <x v="0"/>
  </r>
  <r>
    <d v="2026-04-04T00:00:00"/>
    <s v="P009"/>
    <x v="8"/>
    <n v="65"/>
    <n v="12"/>
    <x v="5"/>
    <x v="0"/>
    <n v="250"/>
    <x v="0"/>
  </r>
  <r>
    <d v="2026-05-04T00:00:00"/>
    <s v="P010"/>
    <x v="9"/>
    <n v="110"/>
    <n v="50"/>
    <x v="6"/>
    <x v="4"/>
    <n v="35"/>
    <x v="0"/>
  </r>
  <r>
    <d v="2026-05-04T00:00:00"/>
    <s v="P001"/>
    <x v="0"/>
    <n v="90"/>
    <n v="30"/>
    <x v="6"/>
    <x v="0"/>
    <n v="50"/>
    <x v="0"/>
  </r>
  <r>
    <d v="2026-06-04T00:00:00"/>
    <s v="P002"/>
    <x v="1"/>
    <n v="70"/>
    <n v="20"/>
    <x v="1"/>
    <x v="0"/>
    <n v="45"/>
    <x v="0"/>
  </r>
  <r>
    <d v="2026-06-04T00:00:00"/>
    <s v="P003"/>
    <x v="2"/>
    <n v="50"/>
    <n v="15"/>
    <x v="7"/>
    <x v="0"/>
    <n v="120"/>
    <x v="0"/>
  </r>
  <r>
    <d v="2026-07-04T00:00:00"/>
    <s v="P004"/>
    <x v="3"/>
    <n v="80"/>
    <n v="22"/>
    <x v="8"/>
    <x v="1"/>
    <n v="30"/>
    <x v="0"/>
  </r>
  <r>
    <d v="2026-07-04T00:00:00"/>
    <s v="P005"/>
    <x v="4"/>
    <n v="60"/>
    <n v="18"/>
    <x v="9"/>
    <x v="2"/>
    <n v="60"/>
    <x v="0"/>
  </r>
  <r>
    <d v="2026-08-04T00:00:00"/>
    <s v="P006"/>
    <x v="5"/>
    <n v="100"/>
    <n v="35"/>
    <x v="2"/>
    <x v="3"/>
    <n v="40"/>
    <x v="0"/>
  </r>
  <r>
    <d v="2026-08-04T00:00:00"/>
    <s v="P007"/>
    <x v="6"/>
    <n v="75"/>
    <n v="25"/>
    <x v="1"/>
    <x v="3"/>
    <n v="150"/>
    <x v="0"/>
  </r>
  <r>
    <d v="2026-09-04T00:00:00"/>
    <s v="P008"/>
    <x v="7"/>
    <n v="65"/>
    <n v="20"/>
    <x v="10"/>
    <x v="0"/>
    <n v="200"/>
    <x v="0"/>
  </r>
  <r>
    <d v="2026-09-04T00:00:00"/>
    <s v="P009"/>
    <x v="8"/>
    <n v="55"/>
    <n v="15"/>
    <x v="11"/>
    <x v="0"/>
    <n v="250"/>
    <x v="0"/>
  </r>
  <r>
    <d v="2026-10-04T00:00:00"/>
    <s v="P010"/>
    <x v="9"/>
    <n v="95"/>
    <n v="45"/>
    <x v="1"/>
    <x v="4"/>
    <n v="35"/>
    <x v="0"/>
  </r>
  <r>
    <d v="2026-10-04T00:00:00"/>
    <s v="P001"/>
    <x v="0"/>
    <n v="85"/>
    <n v="25"/>
    <x v="6"/>
    <x v="0"/>
    <n v="50"/>
    <x v="0"/>
  </r>
  <r>
    <d v="2026-11-04T00:00:00"/>
    <s v="P002"/>
    <x v="1"/>
    <n v="60"/>
    <n v="18"/>
    <x v="9"/>
    <x v="0"/>
    <n v="45"/>
    <x v="0"/>
  </r>
  <r>
    <d v="2026-11-04T00:00:00"/>
    <s v="P003"/>
    <x v="2"/>
    <n v="45"/>
    <n v="10"/>
    <x v="7"/>
    <x v="0"/>
    <n v="120"/>
    <x v="0"/>
  </r>
  <r>
    <d v="2026-12-04T00:00:00"/>
    <s v="P004"/>
    <x v="3"/>
    <n v="70"/>
    <n v="20"/>
    <x v="1"/>
    <x v="1"/>
    <n v="30"/>
    <x v="0"/>
  </r>
  <r>
    <d v="2026-12-04T00:00:00"/>
    <s v="P005"/>
    <x v="4"/>
    <n v="55"/>
    <n v="12"/>
    <x v="12"/>
    <x v="2"/>
    <n v="60"/>
    <x v="0"/>
  </r>
  <r>
    <s v="13/4/2026"/>
    <s v="P006"/>
    <x v="5"/>
    <n v="90"/>
    <n v="30"/>
    <x v="6"/>
    <x v="3"/>
    <n v="40"/>
    <x v="0"/>
  </r>
  <r>
    <s v="13/4/2026"/>
    <s v="P007"/>
    <x v="6"/>
    <n v="65"/>
    <n v="22"/>
    <x v="12"/>
    <x v="3"/>
    <n v="150"/>
    <x v="0"/>
  </r>
  <r>
    <s v="14/4/2026"/>
    <s v="P008"/>
    <x v="7"/>
    <n v="60"/>
    <n v="15"/>
    <x v="10"/>
    <x v="0"/>
    <n v="200"/>
    <x v="0"/>
  </r>
  <r>
    <s v="14/4/2026"/>
    <s v="P009"/>
    <x v="8"/>
    <n v="50"/>
    <n v="10"/>
    <x v="11"/>
    <x v="0"/>
    <n v="250"/>
    <x v="0"/>
  </r>
  <r>
    <s v="15/4/2026"/>
    <s v="P010"/>
    <x v="9"/>
    <n v="85"/>
    <n v="35"/>
    <x v="1"/>
    <x v="4"/>
    <n v="35"/>
    <x v="0"/>
  </r>
  <r>
    <s v="15/4/2026"/>
    <s v="P001"/>
    <x v="0"/>
    <n v="80"/>
    <n v="20"/>
    <x v="6"/>
    <x v="0"/>
    <n v="50"/>
    <x v="0"/>
  </r>
  <r>
    <s v="16/4/2026"/>
    <s v="P002"/>
    <x v="1"/>
    <n v="55"/>
    <n v="15"/>
    <x v="11"/>
    <x v="0"/>
    <n v="45"/>
    <x v="0"/>
  </r>
  <r>
    <s v="16/4/2026"/>
    <s v="P003"/>
    <x v="2"/>
    <n v="40"/>
    <n v="8"/>
    <x v="13"/>
    <x v="0"/>
    <n v="120"/>
    <x v="0"/>
  </r>
  <r>
    <s v="17/4/2026"/>
    <s v="P004"/>
    <x v="3"/>
    <n v="65"/>
    <n v="18"/>
    <x v="14"/>
    <x v="1"/>
    <n v="30"/>
    <x v="0"/>
  </r>
  <r>
    <s v="17/4/2026"/>
    <s v="P005"/>
    <x v="4"/>
    <n v="50"/>
    <n v="10"/>
    <x v="11"/>
    <x v="2"/>
    <n v="60"/>
    <x v="0"/>
  </r>
  <r>
    <s v="18/4/2026"/>
    <s v="P006"/>
    <x v="5"/>
    <n v="85"/>
    <n v="25"/>
    <x v="6"/>
    <x v="3"/>
    <n v="40"/>
    <x v="0"/>
  </r>
  <r>
    <s v="18/4/2026"/>
    <s v="P007"/>
    <x v="6"/>
    <n v="60"/>
    <n v="18"/>
    <x v="9"/>
    <x v="3"/>
    <n v="150"/>
    <x v="0"/>
  </r>
  <r>
    <s v="19/4/2026"/>
    <s v="P008"/>
    <x v="7"/>
    <n v="55"/>
    <n v="12"/>
    <x v="12"/>
    <x v="0"/>
    <n v="200"/>
    <x v="0"/>
  </r>
  <r>
    <s v="19/4/2026"/>
    <s v="P009"/>
    <x v="8"/>
    <n v="45"/>
    <n v="8"/>
    <x v="15"/>
    <x v="0"/>
    <n v="250"/>
    <x v="0"/>
  </r>
  <r>
    <s v="20/4/2026"/>
    <s v="P010"/>
    <x v="9"/>
    <n v="80"/>
    <n v="30"/>
    <x v="1"/>
    <x v="4"/>
    <n v="35"/>
    <x v="0"/>
  </r>
  <r>
    <s v="20/4/2026"/>
    <s v="P001"/>
    <x v="0"/>
    <n v="75"/>
    <n v="18"/>
    <x v="4"/>
    <x v="0"/>
    <n v="50"/>
    <x v="0"/>
  </r>
  <r>
    <s v="21/4/2026"/>
    <s v="P002"/>
    <x v="1"/>
    <n v="50"/>
    <n v="12"/>
    <x v="16"/>
    <x v="0"/>
    <n v="45"/>
    <x v="0"/>
  </r>
  <r>
    <s v="21/4/2026"/>
    <s v="P003"/>
    <x v="2"/>
    <n v="35"/>
    <n v="5"/>
    <x v="17"/>
    <x v="0"/>
    <n v="120"/>
    <x v="0"/>
  </r>
  <r>
    <s v="22/4/2026"/>
    <s v="P004"/>
    <x v="3"/>
    <n v="60"/>
    <n v="15"/>
    <x v="10"/>
    <x v="1"/>
    <n v="30"/>
    <x v="0"/>
  </r>
  <r>
    <s v="22/4/2026"/>
    <s v="P005"/>
    <x v="4"/>
    <n v="45"/>
    <n v="10"/>
    <x v="7"/>
    <x v="2"/>
    <n v="60"/>
    <x v="0"/>
  </r>
  <r>
    <s v="23/4/2026"/>
    <s v="P006"/>
    <x v="5"/>
    <n v="80"/>
    <n v="20"/>
    <x v="6"/>
    <x v="3"/>
    <n v="40"/>
    <x v="0"/>
  </r>
  <r>
    <s v="23/4/2026"/>
    <s v="P007"/>
    <x v="6"/>
    <n v="55"/>
    <n v="15"/>
    <x v="11"/>
    <x v="3"/>
    <n v="150"/>
    <x v="0"/>
  </r>
  <r>
    <s v="24/4/2026"/>
    <s v="P008"/>
    <x v="7"/>
    <n v="50"/>
    <n v="10"/>
    <x v="11"/>
    <x v="0"/>
    <n v="200"/>
    <x v="0"/>
  </r>
  <r>
    <s v="24/4/2026"/>
    <s v="P009"/>
    <x v="8"/>
    <n v="40"/>
    <n v="5"/>
    <x v="7"/>
    <x v="0"/>
    <n v="250"/>
    <x v="0"/>
  </r>
  <r>
    <s v="25/4/2026"/>
    <s v="P010"/>
    <x v="9"/>
    <n v="75"/>
    <n v="25"/>
    <x v="1"/>
    <x v="4"/>
    <n v="3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3E81DF-98F9-487F-9AA8-38BE024B25E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5" firstHeaderRow="1" firstDataRow="1" firstDataCol="1"/>
  <pivotFields count="9">
    <pivotField showAll="0"/>
    <pivotField showAll="0"/>
    <pivotField axis="axisRow" showAll="0">
      <items count="11">
        <item h="1" x="3"/>
        <item h="1" x="8"/>
        <item h="1" x="4"/>
        <item h="1" x="9"/>
        <item h="1" x="2"/>
        <item h="1" x="0"/>
        <item x="6"/>
        <item h="1" x="5"/>
        <item h="1" x="1"/>
        <item h="1" x="7"/>
        <item t="default"/>
      </items>
    </pivotField>
    <pivotField showAll="0"/>
    <pivotField showAll="0"/>
    <pivotField dataField="1" showAll="0">
      <items count="19">
        <item h="1" x="17"/>
        <item h="1" x="13"/>
        <item h="1" x="7"/>
        <item h="1" x="15"/>
        <item h="1" x="16"/>
        <item h="1" x="11"/>
        <item x="9"/>
        <item h="1" x="12"/>
        <item h="1" x="10"/>
        <item h="1" x="14"/>
        <item h="1" x="1"/>
        <item h="1" x="5"/>
        <item h="1" x="3"/>
        <item h="1" x="4"/>
        <item h="1" x="8"/>
        <item h="1" x="6"/>
        <item h="1" x="2"/>
        <item h="1" x="0"/>
        <item t="default"/>
      </items>
    </pivotField>
    <pivotField showAll="0"/>
    <pivotField showAll="0"/>
    <pivotField showAll="0"/>
  </pivotFields>
  <rowFields count="1">
    <field x="2"/>
  </rowFields>
  <rowItems count="2">
    <i>
      <x v="6"/>
    </i>
    <i t="grand">
      <x/>
    </i>
  </rowItems>
  <colItems count="1">
    <i/>
  </colItems>
  <dataFields count="1">
    <dataField name="Sum of CURRENT STOCK" fld="5" baseField="0" baseItem="0"/>
  </dataFields>
  <formats count="6">
    <format dxfId="5">
      <pivotArea type="all" dataOnly="0" outline="0" fieldPosition="0"/>
    </format>
    <format dxfId="4">
      <pivotArea outline="0" collapsedLevelsAreSubtotals="1" fieldPosition="0"/>
    </format>
    <format dxfId="3">
      <pivotArea field="2" type="button" dataOnly="0" labelOnly="1" outline="0" axis="axisRow" fieldPosition="0"/>
    </format>
    <format dxfId="2">
      <pivotArea dataOnly="0" labelOnly="1" fieldPosition="0">
        <references count="1">
          <reference field="2" count="0"/>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AC0932-3044-430B-A56F-D82DE225831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C3:D5" firstHeaderRow="1" firstDataRow="1" firstDataCol="1"/>
  <pivotFields count="9">
    <pivotField showAll="0"/>
    <pivotField showAll="0"/>
    <pivotField showAll="0">
      <items count="11">
        <item h="1" x="3"/>
        <item h="1" x="8"/>
        <item h="1" x="4"/>
        <item x="9"/>
        <item h="1" x="2"/>
        <item h="1" x="0"/>
        <item h="1" x="6"/>
        <item h="1" x="5"/>
        <item h="1" x="1"/>
        <item h="1" x="7"/>
        <item t="default"/>
      </items>
    </pivotField>
    <pivotField showAll="0"/>
    <pivotField showAll="0"/>
    <pivotField showAll="0"/>
    <pivotField showAll="0">
      <items count="6">
        <item h="1" x="2"/>
        <item x="4"/>
        <item h="1" x="0"/>
        <item h="1" x="3"/>
        <item h="1" x="1"/>
        <item t="default"/>
      </items>
    </pivotField>
    <pivotField showAll="0"/>
    <pivotField axis="axisRow" dataField="1" showAll="0">
      <items count="2">
        <item x="0"/>
        <item t="default"/>
      </items>
    </pivotField>
  </pivotFields>
  <rowFields count="1">
    <field x="8"/>
  </rowFields>
  <rowItems count="2">
    <i>
      <x/>
    </i>
    <i t="grand">
      <x/>
    </i>
  </rowItems>
  <colItems count="1">
    <i/>
  </colItems>
  <dataFields count="1">
    <dataField name="Count of STOCK STATUS" fld="8" subtotal="count" baseField="0" baseItem="0"/>
  </dataFields>
  <formats count="6">
    <format dxfId="11">
      <pivotArea type="all" dataOnly="0" outline="0" fieldPosition="0"/>
    </format>
    <format dxfId="10">
      <pivotArea outline="0" collapsedLevelsAreSubtotals="1" fieldPosition="0"/>
    </format>
    <format dxfId="9">
      <pivotArea field="8" type="button" dataOnly="0" labelOnly="1" outline="0" axis="axisRow" fieldPosition="0"/>
    </format>
    <format dxfId="8">
      <pivotArea dataOnly="0" labelOnly="1" fieldPosition="0">
        <references count="1">
          <reference field="8" count="0"/>
        </references>
      </pivotArea>
    </format>
    <format dxfId="7">
      <pivotArea dataOnly="0" labelOnly="1" grandRow="1" outline="0" fieldPosition="0"/>
    </format>
    <format dxfId="6">
      <pivotArea dataOnly="0" labelOnly="1" outline="0" axis="axisValues" fieldPosition="0"/>
    </format>
  </formats>
  <chartFormats count="3">
    <chartFormat chart="7"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9" format="4">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755EB6-C9FB-43E7-9F1C-E3697652B68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9">
    <pivotField showAll="0"/>
    <pivotField showAll="0"/>
    <pivotField showAll="0">
      <items count="11">
        <item h="1" x="3"/>
        <item h="1" x="8"/>
        <item h="1" x="4"/>
        <item h="1" x="9"/>
        <item h="1" x="2"/>
        <item h="1" x="0"/>
        <item h="1" x="6"/>
        <item h="1" x="5"/>
        <item x="1"/>
        <item h="1" x="7"/>
        <item t="default"/>
      </items>
    </pivotField>
    <pivotField showAll="0"/>
    <pivotField showAll="0"/>
    <pivotField dataField="1" showAll="0"/>
    <pivotField axis="axisRow" showAll="0">
      <items count="6">
        <item h="1" x="2"/>
        <item h="1" x="4"/>
        <item x="0"/>
        <item h="1" x="3"/>
        <item h="1" x="1"/>
        <item t="default"/>
      </items>
    </pivotField>
    <pivotField showAll="0"/>
    <pivotField showAll="0"/>
  </pivotFields>
  <rowFields count="1">
    <field x="6"/>
  </rowFields>
  <rowItems count="2">
    <i>
      <x v="2"/>
    </i>
    <i t="grand">
      <x/>
    </i>
  </rowItems>
  <colItems count="1">
    <i/>
  </colItems>
  <dataFields count="1">
    <dataField name="Sum of CURRENT STOCK" fld="5" baseField="0" baseItem="0"/>
  </dataFields>
  <formats count="6">
    <format dxfId="17">
      <pivotArea type="all" dataOnly="0" outline="0" fieldPosition="0"/>
    </format>
    <format dxfId="16">
      <pivotArea outline="0" collapsedLevelsAreSubtotals="1" fieldPosition="0"/>
    </format>
    <format dxfId="15">
      <pivotArea field="6" type="button" dataOnly="0" labelOnly="1" outline="0" axis="axisRow" fieldPosition="0"/>
    </format>
    <format dxfId="14">
      <pivotArea dataOnly="0" labelOnly="1" fieldPosition="0">
        <references count="1">
          <reference field="6" count="0"/>
        </references>
      </pivotArea>
    </format>
    <format dxfId="13">
      <pivotArea dataOnly="0" labelOnly="1" grandRow="1" outline="0" fieldPosition="0"/>
    </format>
    <format dxfId="12">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0F28534D-D9B5-4792-8D47-8F19A2109D20}" sourceName="PRODUCT NAME">
  <pivotTables>
    <pivotTable tabId="4" name="PivotTable1"/>
  </pivotTables>
  <data>
    <tabular pivotCacheId="1875285717">
      <items count="10">
        <i x="8"/>
        <i x="2"/>
        <i x="0"/>
        <i x="1" s="1"/>
        <i x="7"/>
        <i x="3" nd="1"/>
        <i x="4" nd="1"/>
        <i x="9" nd="1"/>
        <i x="6" nd="1"/>
        <i x="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ETCH_CATEGORY" xr10:uid="{10112D5B-2134-4E3E-B7CA-F44CE390D75E}" sourceName="FETCH CATEGORY">
  <pivotTables>
    <pivotTable tabId="4" name="PivotTable1"/>
  </pivotTables>
  <data>
    <tabular pivotCacheId="1875285717">
      <items count="5">
        <i x="0" s="1"/>
        <i x="2" nd="1"/>
        <i x="4" nd="1"/>
        <i x="3" nd="1"/>
        <i x="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1" xr10:uid="{3BC9BCEF-7C8F-489B-8466-6F33A4973B25}" sourceName="PRODUCT NAME">
  <pivotTables>
    <pivotTable tabId="4" name="PivotTable3"/>
  </pivotTables>
  <data>
    <tabular pivotCacheId="1875285717">
      <items count="10">
        <i x="9" s="1"/>
        <i x="3" nd="1"/>
        <i x="8" nd="1"/>
        <i x="4" nd="1"/>
        <i x="2" nd="1"/>
        <i x="0" nd="1"/>
        <i x="6" nd="1"/>
        <i x="5" nd="1"/>
        <i x="1" nd="1"/>
        <i x="7"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ETCH_CATEGORY1" xr10:uid="{0ABFF858-B57A-4D8A-A5E8-4D88404A332C}" sourceName="FETCH CATEGORY">
  <pivotTables>
    <pivotTable tabId="4" name="PivotTable3"/>
  </pivotTables>
  <data>
    <tabular pivotCacheId="1875285717">
      <items count="5">
        <i x="4" s="1"/>
        <i x="2" nd="1"/>
        <i x="0" nd="1"/>
        <i x="3" nd="1"/>
        <i x="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2" xr10:uid="{73D99E5D-65F3-4632-A97E-CDCFBD9EDCED}" sourceName="PRODUCT NAME">
  <pivotTables>
    <pivotTable tabId="4" name="PivotTable5"/>
  </pivotTables>
  <data>
    <tabular pivotCacheId="1875285717">
      <items count="10">
        <i x="4"/>
        <i x="6" s="1"/>
        <i x="1"/>
        <i x="3" nd="1"/>
        <i x="8" nd="1"/>
        <i x="9" nd="1"/>
        <i x="2" nd="1"/>
        <i x="0" nd="1"/>
        <i x="5" nd="1"/>
        <i x="7"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T_STOCK" xr10:uid="{E9129DD9-1E74-43CE-8318-8B0D5D95601D}" sourceName="CURRENT STOCK">
  <pivotTables>
    <pivotTable tabId="4" name="PivotTable5"/>
  </pivotTables>
  <data>
    <tabular pivotCacheId="1875285717">
      <items count="18">
        <i x="11"/>
        <i x="9" s="1"/>
        <i x="12"/>
        <i x="1"/>
        <i x="2"/>
        <i x="17" nd="1"/>
        <i x="13" nd="1"/>
        <i x="7" nd="1"/>
        <i x="15" nd="1"/>
        <i x="16" nd="1"/>
        <i x="10" nd="1"/>
        <i x="14" nd="1"/>
        <i x="5" nd="1"/>
        <i x="3" nd="1"/>
        <i x="4" nd="1"/>
        <i x="8" nd="1"/>
        <i x="6" nd="1"/>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1" xr10:uid="{9AEAB252-46F8-4148-B7E9-9C42A495AB99}" cache="Slicer_PRODUCT_NAME" caption="PRODUCT NAME" rowHeight="234950"/>
  <slicer name="FETCH CATEGORY 1" xr10:uid="{3801D845-73EB-4098-BE63-C797838B1083}" cache="Slicer_FETCH_CATEGORY" caption="FETCH CATEGORY" rowHeight="234950"/>
  <slicer name="PRODUCT NAME 2" xr10:uid="{0AD139A6-7CC2-450C-85CF-623BA0843D37}" cache="Slicer_PRODUCT_NAME1" caption="PRODUCT NAME" startItem="2" rowHeight="234950"/>
  <slicer name="FETCH CATEGORY 2" xr10:uid="{883F3F6C-3283-4BA2-BDF1-5522F29BD500}" cache="Slicer_FETCH_CATEGORY1" caption="FETCH CATEGORY" rowHeight="234950"/>
  <slicer name="PRODUCT NAME 3" xr10:uid="{399A10FC-0720-4CB7-97A5-E4FB60FA4611}" cache="Slicer_PRODUCT_NAME2" caption="PRODUCT NAME" rowHeight="234950"/>
  <slicer name="CURRENT STOCK 1" xr10:uid="{57760EB8-45CA-4305-AA0E-6C658034079B}" cache="Slicer_CURRENT_STOCK" caption="CURRENT STOCK"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2C043-C448-43C5-916C-10152BFE1E30}">
  <dimension ref="A1:K51"/>
  <sheetViews>
    <sheetView tabSelected="1" workbookViewId="0">
      <selection activeCell="K23" sqref="K23"/>
    </sheetView>
  </sheetViews>
  <sheetFormatPr defaultRowHeight="14.4" x14ac:dyDescent="0.3"/>
  <cols>
    <col min="1" max="1" width="13.44140625" customWidth="1"/>
    <col min="2" max="2" width="14.5546875" customWidth="1"/>
    <col min="3" max="3" width="19.77734375" customWidth="1"/>
    <col min="4" max="4" width="17.77734375" customWidth="1"/>
    <col min="5" max="5" width="15" customWidth="1"/>
    <col min="6" max="6" width="16" customWidth="1"/>
    <col min="7" max="7" width="17.77734375" customWidth="1"/>
    <col min="8" max="8" width="15.33203125" customWidth="1"/>
    <col min="9" max="9" width="17.6640625" customWidth="1"/>
    <col min="11" max="11" width="42.21875" customWidth="1"/>
  </cols>
  <sheetData>
    <row r="1" spans="1:11" x14ac:dyDescent="0.3">
      <c r="A1" s="2" t="s">
        <v>0</v>
      </c>
      <c r="B1" s="2" t="s">
        <v>1</v>
      </c>
      <c r="C1" s="2" t="s">
        <v>2</v>
      </c>
      <c r="D1" s="2" t="s">
        <v>3</v>
      </c>
      <c r="E1" s="2" t="s">
        <v>4</v>
      </c>
      <c r="F1" s="2" t="s">
        <v>5</v>
      </c>
      <c r="G1" s="2" t="s">
        <v>46</v>
      </c>
      <c r="H1" s="2" t="s">
        <v>47</v>
      </c>
      <c r="I1" s="2" t="s">
        <v>48</v>
      </c>
    </row>
    <row r="2" spans="1:11" x14ac:dyDescent="0.3">
      <c r="A2" s="3">
        <v>46026</v>
      </c>
      <c r="B2" s="4" t="s">
        <v>6</v>
      </c>
      <c r="C2" s="4" t="s">
        <v>7</v>
      </c>
      <c r="D2" s="4">
        <v>100</v>
      </c>
      <c r="E2" s="4">
        <v>20</v>
      </c>
      <c r="F2" s="4">
        <f>D2-E2</f>
        <v>80</v>
      </c>
      <c r="G2" s="4" t="str">
        <f>VLOOKUP(B2,'Product Master'!A2:C11,2,FALSE)</f>
        <v>Grocery</v>
      </c>
      <c r="H2" s="4">
        <f>INDEX('Product Master'!C2:C11,MATCH('Stock Data '!B2,'Product Master'!A2:A11,0))</f>
        <v>50</v>
      </c>
      <c r="I2" s="4" t="str">
        <f>IF(F2&lt;20,"LOW STOCK","OK")</f>
        <v>OK</v>
      </c>
    </row>
    <row r="3" spans="1:11" x14ac:dyDescent="0.3">
      <c r="A3" s="3">
        <v>46026</v>
      </c>
      <c r="B3" s="4" t="s">
        <v>8</v>
      </c>
      <c r="C3" s="4" t="s">
        <v>9</v>
      </c>
      <c r="D3" s="4">
        <v>80</v>
      </c>
      <c r="E3" s="4">
        <v>30</v>
      </c>
      <c r="F3" s="4">
        <f t="shared" ref="F3:F51" si="0">D3-E3</f>
        <v>50</v>
      </c>
      <c r="G3" s="4" t="str">
        <f>VLOOKUP(B3,'Product Master'!A3:C12,2,FALSE)</f>
        <v>Grocery</v>
      </c>
      <c r="H3" s="4">
        <f>INDEX('Product Master'!C3:C12,MATCH('Stock Data '!B3,'Product Master'!A3:A12,0))</f>
        <v>45</v>
      </c>
      <c r="I3" s="4" t="str">
        <f t="shared" ref="I3:I51" si="1">IF(F3&lt;20,"LOW STOCK","OK")</f>
        <v>OK</v>
      </c>
    </row>
    <row r="4" spans="1:11" x14ac:dyDescent="0.3">
      <c r="A4" s="3">
        <v>46026</v>
      </c>
      <c r="B4" s="4" t="s">
        <v>10</v>
      </c>
      <c r="C4" s="4" t="s">
        <v>11</v>
      </c>
      <c r="D4" s="4">
        <v>60</v>
      </c>
      <c r="E4" s="4">
        <v>10</v>
      </c>
      <c r="F4" s="4">
        <f t="shared" si="0"/>
        <v>50</v>
      </c>
      <c r="G4" s="4" t="str">
        <f>VLOOKUP(B4,'Product Master'!A4:C13,2,FALSE)</f>
        <v>Grocery</v>
      </c>
      <c r="H4" s="4">
        <f>INDEX('Product Master'!C4:C13,MATCH('Stock Data '!B4,'Product Master'!A4:A13,0))</f>
        <v>120</v>
      </c>
      <c r="I4" s="4" t="str">
        <f t="shared" si="1"/>
        <v>OK</v>
      </c>
    </row>
    <row r="5" spans="1:11" x14ac:dyDescent="0.3">
      <c r="A5" s="3">
        <v>46057</v>
      </c>
      <c r="B5" s="4" t="s">
        <v>12</v>
      </c>
      <c r="C5" s="4" t="s">
        <v>13</v>
      </c>
      <c r="D5" s="4">
        <v>90</v>
      </c>
      <c r="E5" s="4">
        <v>25</v>
      </c>
      <c r="F5" s="4">
        <f t="shared" si="0"/>
        <v>65</v>
      </c>
      <c r="G5" s="4" t="str">
        <f>VLOOKUP(B5,'Product Master'!A5:C14,2,FALSE)</f>
        <v>Snacks</v>
      </c>
      <c r="H5" s="4">
        <f>INDEX('Product Master'!C5:C14,MATCH('Stock Data '!B5,'Product Master'!A5:A14,0))</f>
        <v>30</v>
      </c>
      <c r="I5" s="4" t="str">
        <f t="shared" si="1"/>
        <v>OK</v>
      </c>
    </row>
    <row r="6" spans="1:11" x14ac:dyDescent="0.3">
      <c r="A6" s="3">
        <v>46057</v>
      </c>
      <c r="B6" s="4" t="s">
        <v>14</v>
      </c>
      <c r="C6" s="4" t="s">
        <v>15</v>
      </c>
      <c r="D6" s="4">
        <v>70</v>
      </c>
      <c r="E6" s="4">
        <v>15</v>
      </c>
      <c r="F6" s="4">
        <f t="shared" si="0"/>
        <v>55</v>
      </c>
      <c r="G6" s="4" t="str">
        <f>VLOOKUP(B6,'Product Master'!A6:C15,2,FALSE)</f>
        <v>Beverages</v>
      </c>
      <c r="H6" s="4">
        <f>INDEX('Product Master'!C6:C15,MATCH('Stock Data '!B6,'Product Master'!A6:A15,0))</f>
        <v>60</v>
      </c>
      <c r="I6" s="4" t="str">
        <f t="shared" si="1"/>
        <v>OK</v>
      </c>
    </row>
    <row r="7" spans="1:11" x14ac:dyDescent="0.3">
      <c r="A7" s="3">
        <v>46085</v>
      </c>
      <c r="B7" s="4" t="s">
        <v>16</v>
      </c>
      <c r="C7" s="4" t="s">
        <v>17</v>
      </c>
      <c r="D7" s="4">
        <v>120</v>
      </c>
      <c r="E7" s="4">
        <v>40</v>
      </c>
      <c r="F7" s="4">
        <f t="shared" si="0"/>
        <v>80</v>
      </c>
      <c r="G7" s="4" t="str">
        <f>VLOOKUP(B7,'Product Master'!A7:C16,2,FALSE)</f>
        <v>Personal Care</v>
      </c>
      <c r="H7" s="4">
        <f>INDEX('Product Master'!C7:C16,MATCH('Stock Data '!B7,'Product Master'!A7:A16,0))</f>
        <v>40</v>
      </c>
      <c r="I7" s="4" t="str">
        <f t="shared" si="1"/>
        <v>OK</v>
      </c>
    </row>
    <row r="8" spans="1:11" x14ac:dyDescent="0.3">
      <c r="A8" s="3">
        <v>46085</v>
      </c>
      <c r="B8" s="4" t="s">
        <v>18</v>
      </c>
      <c r="C8" s="4" t="s">
        <v>19</v>
      </c>
      <c r="D8" s="4">
        <v>85</v>
      </c>
      <c r="E8" s="4">
        <v>20</v>
      </c>
      <c r="F8" s="4">
        <f t="shared" si="0"/>
        <v>65</v>
      </c>
      <c r="G8" s="4" t="str">
        <f>VLOOKUP(B8,'Product Master'!A8:C17,2,FALSE)</f>
        <v>Personal Care</v>
      </c>
      <c r="H8" s="4">
        <f>INDEX('Product Master'!C8:C17,MATCH('Stock Data '!B8,'Product Master'!A8:A17,0))</f>
        <v>150</v>
      </c>
      <c r="I8" s="4" t="str">
        <f t="shared" si="1"/>
        <v>OK</v>
      </c>
    </row>
    <row r="9" spans="1:11" x14ac:dyDescent="0.3">
      <c r="A9" s="3">
        <v>46116</v>
      </c>
      <c r="B9" s="4" t="s">
        <v>20</v>
      </c>
      <c r="C9" s="4" t="s">
        <v>21</v>
      </c>
      <c r="D9" s="4">
        <v>75</v>
      </c>
      <c r="E9" s="4">
        <v>18</v>
      </c>
      <c r="F9" s="4">
        <f t="shared" si="0"/>
        <v>57</v>
      </c>
      <c r="G9" s="4" t="str">
        <f>VLOOKUP(B9,'Product Master'!A9:C18,2,FALSE)</f>
        <v>Grocery</v>
      </c>
      <c r="H9" s="4">
        <f>INDEX('Product Master'!C9:C18,MATCH('Stock Data '!B9,'Product Master'!A9:A18,0))</f>
        <v>200</v>
      </c>
      <c r="I9" s="4" t="str">
        <f t="shared" si="1"/>
        <v>OK</v>
      </c>
    </row>
    <row r="10" spans="1:11" x14ac:dyDescent="0.3">
      <c r="A10" s="3">
        <v>46116</v>
      </c>
      <c r="B10" s="4" t="s">
        <v>22</v>
      </c>
      <c r="C10" s="4" t="s">
        <v>23</v>
      </c>
      <c r="D10" s="4">
        <v>65</v>
      </c>
      <c r="E10" s="4">
        <v>12</v>
      </c>
      <c r="F10" s="4">
        <f t="shared" si="0"/>
        <v>53</v>
      </c>
      <c r="G10" s="4" t="str">
        <f>VLOOKUP(B10,'Product Master'!A10:C19,2,FALSE)</f>
        <v>Grocery</v>
      </c>
      <c r="H10" s="4">
        <f>INDEX('Product Master'!C10:C19,MATCH('Stock Data '!B10,'Product Master'!A10:A19,0))</f>
        <v>250</v>
      </c>
      <c r="I10" s="4" t="str">
        <f t="shared" si="1"/>
        <v>OK</v>
      </c>
    </row>
    <row r="11" spans="1:11" x14ac:dyDescent="0.3">
      <c r="A11" s="3">
        <v>46146</v>
      </c>
      <c r="B11" s="4" t="s">
        <v>24</v>
      </c>
      <c r="C11" s="4" t="s">
        <v>25</v>
      </c>
      <c r="D11" s="4">
        <v>110</v>
      </c>
      <c r="E11" s="4">
        <v>50</v>
      </c>
      <c r="F11" s="4">
        <f t="shared" si="0"/>
        <v>60</v>
      </c>
      <c r="G11" s="4" t="str">
        <f>VLOOKUP(B11,'Product Master'!A11:C20,2,FALSE)</f>
        <v>Dairy</v>
      </c>
      <c r="H11" s="4">
        <f>INDEX('Product Master'!C11:C20,MATCH('Stock Data '!B11,'Product Master'!A11:A20,0))</f>
        <v>35</v>
      </c>
      <c r="I11" s="4" t="str">
        <f t="shared" si="1"/>
        <v>OK</v>
      </c>
    </row>
    <row r="12" spans="1:11" x14ac:dyDescent="0.3">
      <c r="A12" s="3">
        <v>46146</v>
      </c>
      <c r="B12" s="4" t="s">
        <v>6</v>
      </c>
      <c r="C12" s="4" t="s">
        <v>7</v>
      </c>
      <c r="D12" s="4">
        <v>90</v>
      </c>
      <c r="E12" s="4">
        <v>30</v>
      </c>
      <c r="F12" s="4">
        <f t="shared" si="0"/>
        <v>60</v>
      </c>
      <c r="G12" s="4" t="str">
        <f>VLOOKUP(B12,'Product Master'!A2:C11,2,FALSE)</f>
        <v>Grocery</v>
      </c>
      <c r="H12" s="4">
        <f>INDEX('Product Master'!C2:C11,MATCH('Stock Data '!B12,'Product Master'!A2:A11,0))</f>
        <v>50</v>
      </c>
      <c r="I12" s="4" t="str">
        <f t="shared" si="1"/>
        <v>OK</v>
      </c>
    </row>
    <row r="13" spans="1:11" x14ac:dyDescent="0.3">
      <c r="A13" s="3">
        <v>46177</v>
      </c>
      <c r="B13" s="4" t="s">
        <v>8</v>
      </c>
      <c r="C13" s="4" t="s">
        <v>9</v>
      </c>
      <c r="D13" s="4">
        <v>70</v>
      </c>
      <c r="E13" s="4">
        <v>20</v>
      </c>
      <c r="F13" s="4">
        <f t="shared" si="0"/>
        <v>50</v>
      </c>
      <c r="G13" s="4" t="str">
        <f>VLOOKUP(B13,'Product Master'!A2:C11,2,FALSE)</f>
        <v>Grocery</v>
      </c>
      <c r="H13" s="4">
        <f>INDEX('Product Master'!C2:C11,MATCH('Stock Data '!B13,'Product Master'!A2:A11,0))</f>
        <v>45</v>
      </c>
      <c r="I13" s="4" t="str">
        <f t="shared" si="1"/>
        <v>OK</v>
      </c>
    </row>
    <row r="14" spans="1:11" x14ac:dyDescent="0.3">
      <c r="A14" s="3">
        <v>46177</v>
      </c>
      <c r="B14" s="4" t="s">
        <v>10</v>
      </c>
      <c r="C14" s="4" t="s">
        <v>11</v>
      </c>
      <c r="D14" s="4">
        <v>50</v>
      </c>
      <c r="E14" s="4">
        <v>15</v>
      </c>
      <c r="F14" s="4">
        <f t="shared" si="0"/>
        <v>35</v>
      </c>
      <c r="G14" s="4" t="str">
        <f>VLOOKUP(B14,'Product Master'!A2:C11,2,FALSE)</f>
        <v>Grocery</v>
      </c>
      <c r="H14" s="4">
        <f>INDEX('Product Master'!C2:C11,MATCH('Stock Data '!B14,'Product Master'!A2:A11,0))</f>
        <v>120</v>
      </c>
      <c r="I14" s="4" t="str">
        <f t="shared" si="1"/>
        <v>OK</v>
      </c>
    </row>
    <row r="15" spans="1:11" x14ac:dyDescent="0.3">
      <c r="A15" s="3">
        <v>46207</v>
      </c>
      <c r="B15" s="4" t="s">
        <v>12</v>
      </c>
      <c r="C15" s="4" t="s">
        <v>13</v>
      </c>
      <c r="D15" s="4">
        <v>80</v>
      </c>
      <c r="E15" s="4">
        <v>22</v>
      </c>
      <c r="F15" s="4">
        <f t="shared" si="0"/>
        <v>58</v>
      </c>
      <c r="G15" s="4" t="str">
        <f>VLOOKUP(B15,'Product Master'!A2:C11,2,FALSE)</f>
        <v>Snacks</v>
      </c>
      <c r="H15" s="4">
        <f>INDEX('Product Master'!C2:C11,MATCH('Stock Data '!B15,'Product Master'!A2:A11,0))</f>
        <v>30</v>
      </c>
      <c r="I15" s="4" t="str">
        <f t="shared" si="1"/>
        <v>OK</v>
      </c>
    </row>
    <row r="16" spans="1:11" x14ac:dyDescent="0.3">
      <c r="A16" s="3">
        <v>46207</v>
      </c>
      <c r="B16" s="4" t="s">
        <v>14</v>
      </c>
      <c r="C16" s="4" t="s">
        <v>15</v>
      </c>
      <c r="D16" s="4">
        <v>60</v>
      </c>
      <c r="E16" s="4">
        <v>18</v>
      </c>
      <c r="F16" s="4">
        <f t="shared" si="0"/>
        <v>42</v>
      </c>
      <c r="G16" s="4" t="str">
        <f>VLOOKUP(B16,'Product Master'!A2:C11,2,FALSE)</f>
        <v>Beverages</v>
      </c>
      <c r="H16" s="4">
        <f>INDEX('Product Master'!C2:C11,MATCH('Stock Data '!B16,'Product Master'!A2:A11,0))</f>
        <v>60</v>
      </c>
      <c r="I16" s="4" t="str">
        <f t="shared" si="1"/>
        <v>OK</v>
      </c>
      <c r="K16" s="14" t="s">
        <v>65</v>
      </c>
    </row>
    <row r="17" spans="1:9" x14ac:dyDescent="0.3">
      <c r="A17" s="3">
        <v>46238</v>
      </c>
      <c r="B17" s="4" t="s">
        <v>16</v>
      </c>
      <c r="C17" s="4" t="s">
        <v>17</v>
      </c>
      <c r="D17" s="4">
        <v>100</v>
      </c>
      <c r="E17" s="4">
        <v>35</v>
      </c>
      <c r="F17" s="4">
        <f t="shared" si="0"/>
        <v>65</v>
      </c>
      <c r="G17" s="4" t="str">
        <f>VLOOKUP(B17,'Product Master'!A2:C11,2,FALSE)</f>
        <v>Personal Care</v>
      </c>
      <c r="H17" s="4">
        <f>INDEX('Product Master'!C2:C11,MATCH('Stock Data '!B17,'Product Master'!A2:A11,0))</f>
        <v>40</v>
      </c>
      <c r="I17" s="4" t="str">
        <f t="shared" si="1"/>
        <v>OK</v>
      </c>
    </row>
    <row r="18" spans="1:9" x14ac:dyDescent="0.3">
      <c r="A18" s="3">
        <v>46238</v>
      </c>
      <c r="B18" s="4" t="s">
        <v>18</v>
      </c>
      <c r="C18" s="4" t="s">
        <v>19</v>
      </c>
      <c r="D18" s="4">
        <v>75</v>
      </c>
      <c r="E18" s="4">
        <v>25</v>
      </c>
      <c r="F18" s="4">
        <f t="shared" si="0"/>
        <v>50</v>
      </c>
      <c r="G18" s="4" t="str">
        <f>VLOOKUP(B18,'Product Master'!A2:C11,2,FALSE)</f>
        <v>Personal Care</v>
      </c>
      <c r="H18" s="4">
        <f>INDEX('Product Master'!C2:C11,MATCH('Stock Data '!B18,'Product Master'!A2:A11,0))</f>
        <v>150</v>
      </c>
      <c r="I18" s="4" t="str">
        <f t="shared" si="1"/>
        <v>OK</v>
      </c>
    </row>
    <row r="19" spans="1:9" x14ac:dyDescent="0.3">
      <c r="A19" s="3">
        <v>46269</v>
      </c>
      <c r="B19" s="4" t="s">
        <v>20</v>
      </c>
      <c r="C19" s="4" t="s">
        <v>21</v>
      </c>
      <c r="D19" s="4">
        <v>65</v>
      </c>
      <c r="E19" s="4">
        <v>20</v>
      </c>
      <c r="F19" s="4">
        <f t="shared" si="0"/>
        <v>45</v>
      </c>
      <c r="G19" s="4" t="str">
        <f>VLOOKUP(B19,'Product Master'!A2:C11,2,FALSE)</f>
        <v>Grocery</v>
      </c>
      <c r="H19" s="4">
        <f>INDEX('Product Master'!C2:C11,MATCH('Stock Data '!B19,'Product Master'!A2:A11,0))</f>
        <v>200</v>
      </c>
      <c r="I19" s="4" t="str">
        <f t="shared" si="1"/>
        <v>OK</v>
      </c>
    </row>
    <row r="20" spans="1:9" x14ac:dyDescent="0.3">
      <c r="A20" s="3">
        <v>46269</v>
      </c>
      <c r="B20" s="4" t="s">
        <v>22</v>
      </c>
      <c r="C20" s="4" t="s">
        <v>23</v>
      </c>
      <c r="D20" s="4">
        <v>55</v>
      </c>
      <c r="E20" s="4">
        <v>15</v>
      </c>
      <c r="F20" s="4">
        <f t="shared" si="0"/>
        <v>40</v>
      </c>
      <c r="G20" s="4" t="str">
        <f>VLOOKUP(B20,'Product Master'!A2:C11,2,FALSE)</f>
        <v>Grocery</v>
      </c>
      <c r="H20" s="4">
        <f>INDEX('Product Master'!C2:C11,MATCH('Stock Data '!B20,'Product Master'!A2:A11,0))</f>
        <v>250</v>
      </c>
      <c r="I20" s="4" t="str">
        <f t="shared" si="1"/>
        <v>OK</v>
      </c>
    </row>
    <row r="21" spans="1:9" x14ac:dyDescent="0.3">
      <c r="A21" s="3">
        <v>46299</v>
      </c>
      <c r="B21" s="4" t="s">
        <v>24</v>
      </c>
      <c r="C21" s="4" t="s">
        <v>25</v>
      </c>
      <c r="D21" s="4">
        <v>95</v>
      </c>
      <c r="E21" s="4">
        <v>45</v>
      </c>
      <c r="F21" s="4">
        <f t="shared" si="0"/>
        <v>50</v>
      </c>
      <c r="G21" s="4" t="str">
        <f>VLOOKUP(B21,'Product Master'!A2:C11,2,FALSE)</f>
        <v>Dairy</v>
      </c>
      <c r="H21" s="4">
        <f>INDEX('Product Master'!C2:C11,MATCH('Stock Data '!B21,'Product Master'!A2:A11,0))</f>
        <v>35</v>
      </c>
      <c r="I21" s="4" t="str">
        <f t="shared" si="1"/>
        <v>OK</v>
      </c>
    </row>
    <row r="22" spans="1:9" x14ac:dyDescent="0.3">
      <c r="A22" s="3">
        <v>46299</v>
      </c>
      <c r="B22" s="4" t="s">
        <v>6</v>
      </c>
      <c r="C22" s="4" t="s">
        <v>7</v>
      </c>
      <c r="D22" s="4">
        <v>85</v>
      </c>
      <c r="E22" s="4">
        <v>25</v>
      </c>
      <c r="F22" s="4">
        <f t="shared" si="0"/>
        <v>60</v>
      </c>
      <c r="G22" s="4" t="str">
        <f>VLOOKUP(B22,'Product Master'!A2:C11,2,FALSE)</f>
        <v>Grocery</v>
      </c>
      <c r="H22" s="4">
        <f>INDEX('Product Master'!C2:C11,MATCH('Stock Data '!B22,'Product Master'!A2:A11,0))</f>
        <v>50</v>
      </c>
      <c r="I22" s="4" t="str">
        <f t="shared" si="1"/>
        <v>OK</v>
      </c>
    </row>
    <row r="23" spans="1:9" x14ac:dyDescent="0.3">
      <c r="A23" s="3">
        <v>46330</v>
      </c>
      <c r="B23" s="4" t="s">
        <v>8</v>
      </c>
      <c r="C23" s="4" t="s">
        <v>9</v>
      </c>
      <c r="D23" s="4">
        <v>60</v>
      </c>
      <c r="E23" s="4">
        <v>18</v>
      </c>
      <c r="F23" s="4">
        <f t="shared" si="0"/>
        <v>42</v>
      </c>
      <c r="G23" s="4" t="str">
        <f>VLOOKUP(B23,'Product Master'!A2:C11,2,FALSE)</f>
        <v>Grocery</v>
      </c>
      <c r="H23" s="4">
        <f>INDEX('Product Master'!C2:C11,MATCH('Stock Data '!B23,'Product Master'!A2:A11,0))</f>
        <v>45</v>
      </c>
      <c r="I23" s="4" t="str">
        <f t="shared" si="1"/>
        <v>OK</v>
      </c>
    </row>
    <row r="24" spans="1:9" x14ac:dyDescent="0.3">
      <c r="A24" s="3">
        <v>46330</v>
      </c>
      <c r="B24" s="4" t="s">
        <v>10</v>
      </c>
      <c r="C24" s="4" t="s">
        <v>11</v>
      </c>
      <c r="D24" s="4">
        <v>45</v>
      </c>
      <c r="E24" s="4">
        <v>10</v>
      </c>
      <c r="F24" s="4">
        <f t="shared" si="0"/>
        <v>35</v>
      </c>
      <c r="G24" s="4" t="str">
        <f>VLOOKUP(B24,'Product Master'!A2:C11,2,FALSE)</f>
        <v>Grocery</v>
      </c>
      <c r="H24" s="4">
        <f>INDEX('Product Master'!C2:C11,MATCH('Stock Data '!B24,'Product Master'!A2:A11,0))</f>
        <v>120</v>
      </c>
      <c r="I24" s="4" t="str">
        <f t="shared" si="1"/>
        <v>OK</v>
      </c>
    </row>
    <row r="25" spans="1:9" x14ac:dyDescent="0.3">
      <c r="A25" s="3">
        <v>46360</v>
      </c>
      <c r="B25" s="4" t="s">
        <v>12</v>
      </c>
      <c r="C25" s="4" t="s">
        <v>13</v>
      </c>
      <c r="D25" s="4">
        <v>70</v>
      </c>
      <c r="E25" s="4">
        <v>20</v>
      </c>
      <c r="F25" s="4">
        <f t="shared" si="0"/>
        <v>50</v>
      </c>
      <c r="G25" s="4" t="str">
        <f>VLOOKUP(B25,'Product Master'!A2:C11,2,FALSE)</f>
        <v>Snacks</v>
      </c>
      <c r="H25" s="4">
        <f>INDEX('Product Master'!C2:C11,MATCH('Stock Data '!B25,'Product Master'!A2:A11,0))</f>
        <v>30</v>
      </c>
      <c r="I25" s="4" t="str">
        <f t="shared" si="1"/>
        <v>OK</v>
      </c>
    </row>
    <row r="26" spans="1:9" x14ac:dyDescent="0.3">
      <c r="A26" s="3">
        <v>46360</v>
      </c>
      <c r="B26" s="4" t="s">
        <v>14</v>
      </c>
      <c r="C26" s="4" t="s">
        <v>15</v>
      </c>
      <c r="D26" s="4">
        <v>55</v>
      </c>
      <c r="E26" s="4">
        <v>12</v>
      </c>
      <c r="F26" s="4">
        <f t="shared" si="0"/>
        <v>43</v>
      </c>
      <c r="G26" s="4" t="str">
        <f>VLOOKUP(B26,'Product Master'!A2:C11,2,FALSE)</f>
        <v>Beverages</v>
      </c>
      <c r="H26" s="4">
        <f>INDEX('Product Master'!C2:C11,MATCH('Stock Data '!B26,'Product Master'!A2:A11,0))</f>
        <v>60</v>
      </c>
      <c r="I26" s="4" t="str">
        <f t="shared" si="1"/>
        <v>OK</v>
      </c>
    </row>
    <row r="27" spans="1:9" x14ac:dyDescent="0.3">
      <c r="A27" s="4" t="s">
        <v>26</v>
      </c>
      <c r="B27" s="4" t="s">
        <v>16</v>
      </c>
      <c r="C27" s="4" t="s">
        <v>17</v>
      </c>
      <c r="D27" s="4">
        <v>90</v>
      </c>
      <c r="E27" s="4">
        <v>30</v>
      </c>
      <c r="F27" s="4">
        <f t="shared" si="0"/>
        <v>60</v>
      </c>
      <c r="G27" s="4" t="str">
        <f>VLOOKUP(B27,'Product Master'!A2:C11,2,FALSE)</f>
        <v>Personal Care</v>
      </c>
      <c r="H27" s="4">
        <f>INDEX('Product Master'!C2:C11,MATCH('Stock Data '!B27,'Product Master'!A2:A11,0))</f>
        <v>40</v>
      </c>
      <c r="I27" s="4" t="str">
        <f t="shared" si="1"/>
        <v>OK</v>
      </c>
    </row>
    <row r="28" spans="1:9" x14ac:dyDescent="0.3">
      <c r="A28" s="4" t="s">
        <v>26</v>
      </c>
      <c r="B28" s="4" t="s">
        <v>18</v>
      </c>
      <c r="C28" s="4" t="s">
        <v>19</v>
      </c>
      <c r="D28" s="4">
        <v>65</v>
      </c>
      <c r="E28" s="4">
        <v>22</v>
      </c>
      <c r="F28" s="4">
        <f t="shared" si="0"/>
        <v>43</v>
      </c>
      <c r="G28" s="4" t="str">
        <f>VLOOKUP(B28,'Product Master'!A2:C11,2,FALSE)</f>
        <v>Personal Care</v>
      </c>
      <c r="H28" s="4">
        <f>INDEX('Product Master'!C2:C11,MATCH('Stock Data '!B28,'Product Master'!A2:A11,0))</f>
        <v>150</v>
      </c>
      <c r="I28" s="4" t="str">
        <f t="shared" si="1"/>
        <v>OK</v>
      </c>
    </row>
    <row r="29" spans="1:9" x14ac:dyDescent="0.3">
      <c r="A29" s="4" t="s">
        <v>27</v>
      </c>
      <c r="B29" s="4" t="s">
        <v>20</v>
      </c>
      <c r="C29" s="4" t="s">
        <v>21</v>
      </c>
      <c r="D29" s="4">
        <v>60</v>
      </c>
      <c r="E29" s="4">
        <v>15</v>
      </c>
      <c r="F29" s="4">
        <f t="shared" si="0"/>
        <v>45</v>
      </c>
      <c r="G29" s="4" t="str">
        <f>VLOOKUP(B29,'Product Master'!A2:C11,2,FALSE)</f>
        <v>Grocery</v>
      </c>
      <c r="H29" s="4">
        <f>INDEX('Product Master'!C2:C11,MATCH('Stock Data '!B29,'Product Master'!A2:A11,0))</f>
        <v>200</v>
      </c>
      <c r="I29" s="4" t="str">
        <f t="shared" si="1"/>
        <v>OK</v>
      </c>
    </row>
    <row r="30" spans="1:9" x14ac:dyDescent="0.3">
      <c r="A30" s="4" t="s">
        <v>27</v>
      </c>
      <c r="B30" s="4" t="s">
        <v>22</v>
      </c>
      <c r="C30" s="4" t="s">
        <v>23</v>
      </c>
      <c r="D30" s="4">
        <v>50</v>
      </c>
      <c r="E30" s="4">
        <v>10</v>
      </c>
      <c r="F30" s="4">
        <f t="shared" si="0"/>
        <v>40</v>
      </c>
      <c r="G30" s="4" t="str">
        <f>VLOOKUP(B30,'Product Master'!A2:C11,2,FALSE)</f>
        <v>Grocery</v>
      </c>
      <c r="H30" s="4">
        <f>INDEX('Product Master'!C2:C11,MATCH('Stock Data '!B30,'Product Master'!A2:A11,0))</f>
        <v>250</v>
      </c>
      <c r="I30" s="4" t="str">
        <f t="shared" si="1"/>
        <v>OK</v>
      </c>
    </row>
    <row r="31" spans="1:9" x14ac:dyDescent="0.3">
      <c r="A31" s="4" t="s">
        <v>28</v>
      </c>
      <c r="B31" s="4" t="s">
        <v>24</v>
      </c>
      <c r="C31" s="4" t="s">
        <v>25</v>
      </c>
      <c r="D31" s="4">
        <v>85</v>
      </c>
      <c r="E31" s="4">
        <v>35</v>
      </c>
      <c r="F31" s="4">
        <f t="shared" si="0"/>
        <v>50</v>
      </c>
      <c r="G31" s="4" t="str">
        <f>VLOOKUP(B31,'Product Master'!A2:C11,2,FALSE)</f>
        <v>Dairy</v>
      </c>
      <c r="H31" s="4">
        <f>INDEX('Product Master'!C2:C11,MATCH('Stock Data '!B31,'Product Master'!A2:A11,0))</f>
        <v>35</v>
      </c>
      <c r="I31" s="4" t="str">
        <f t="shared" si="1"/>
        <v>OK</v>
      </c>
    </row>
    <row r="32" spans="1:9" x14ac:dyDescent="0.3">
      <c r="A32" s="4" t="s">
        <v>28</v>
      </c>
      <c r="B32" s="4" t="s">
        <v>6</v>
      </c>
      <c r="C32" s="4" t="s">
        <v>7</v>
      </c>
      <c r="D32" s="4">
        <v>80</v>
      </c>
      <c r="E32" s="4">
        <v>20</v>
      </c>
      <c r="F32" s="4">
        <f t="shared" si="0"/>
        <v>60</v>
      </c>
      <c r="G32" s="4" t="str">
        <f>VLOOKUP(B32,'Product Master'!A2:C11,2,FALSE)</f>
        <v>Grocery</v>
      </c>
      <c r="H32" s="4">
        <f>INDEX('Product Master'!C2:C11,MATCH('Stock Data '!B32,'Product Master'!A2:A11,0))</f>
        <v>50</v>
      </c>
      <c r="I32" s="4" t="str">
        <f t="shared" si="1"/>
        <v>OK</v>
      </c>
    </row>
    <row r="33" spans="1:9" x14ac:dyDescent="0.3">
      <c r="A33" s="4" t="s">
        <v>29</v>
      </c>
      <c r="B33" s="4" t="s">
        <v>8</v>
      </c>
      <c r="C33" s="4" t="s">
        <v>9</v>
      </c>
      <c r="D33" s="4">
        <v>55</v>
      </c>
      <c r="E33" s="4">
        <v>15</v>
      </c>
      <c r="F33" s="4">
        <f t="shared" si="0"/>
        <v>40</v>
      </c>
      <c r="G33" s="4" t="str">
        <f>VLOOKUP(B33,'Product Master'!A2:C11,2,FALSE)</f>
        <v>Grocery</v>
      </c>
      <c r="H33" s="4">
        <f>INDEX('Product Master'!C2:C11,MATCH('Stock Data '!B33,'Product Master'!A2:A11,0))</f>
        <v>45</v>
      </c>
      <c r="I33" s="4" t="str">
        <f t="shared" si="1"/>
        <v>OK</v>
      </c>
    </row>
    <row r="34" spans="1:9" x14ac:dyDescent="0.3">
      <c r="A34" s="4" t="s">
        <v>29</v>
      </c>
      <c r="B34" s="4" t="s">
        <v>10</v>
      </c>
      <c r="C34" s="4" t="s">
        <v>11</v>
      </c>
      <c r="D34" s="4">
        <v>40</v>
      </c>
      <c r="E34" s="4">
        <v>8</v>
      </c>
      <c r="F34" s="4">
        <f t="shared" si="0"/>
        <v>32</v>
      </c>
      <c r="G34" s="4" t="str">
        <f>VLOOKUP(B34,'Product Master'!A2:C11,2,FALSE)</f>
        <v>Grocery</v>
      </c>
      <c r="H34" s="4">
        <f>INDEX('Product Master'!C2:C11,MATCH('Stock Data '!B34,'Product Master'!A2:A11,0))</f>
        <v>120</v>
      </c>
      <c r="I34" s="4" t="str">
        <f t="shared" si="1"/>
        <v>OK</v>
      </c>
    </row>
    <row r="35" spans="1:9" x14ac:dyDescent="0.3">
      <c r="A35" s="4" t="s">
        <v>30</v>
      </c>
      <c r="B35" s="4" t="s">
        <v>12</v>
      </c>
      <c r="C35" s="4" t="s">
        <v>13</v>
      </c>
      <c r="D35" s="4">
        <v>65</v>
      </c>
      <c r="E35" s="4">
        <v>18</v>
      </c>
      <c r="F35" s="4">
        <f t="shared" si="0"/>
        <v>47</v>
      </c>
      <c r="G35" s="4" t="str">
        <f>VLOOKUP(B35,'Product Master'!A2:C11,2,FALSE)</f>
        <v>Snacks</v>
      </c>
      <c r="H35" s="4">
        <f>INDEX('Product Master'!C2:C11,MATCH('Stock Data '!B35,'Product Master'!A2:A11,0))</f>
        <v>30</v>
      </c>
      <c r="I35" s="4" t="str">
        <f t="shared" si="1"/>
        <v>OK</v>
      </c>
    </row>
    <row r="36" spans="1:9" x14ac:dyDescent="0.3">
      <c r="A36" s="4" t="s">
        <v>30</v>
      </c>
      <c r="B36" s="4" t="s">
        <v>14</v>
      </c>
      <c r="C36" s="4" t="s">
        <v>15</v>
      </c>
      <c r="D36" s="4">
        <v>50</v>
      </c>
      <c r="E36" s="4">
        <v>10</v>
      </c>
      <c r="F36" s="4">
        <f t="shared" si="0"/>
        <v>40</v>
      </c>
      <c r="G36" s="4" t="str">
        <f>VLOOKUP(B36,'Product Master'!A2:C11,2,FALSE)</f>
        <v>Beverages</v>
      </c>
      <c r="H36" s="4">
        <f>INDEX('Product Master'!C2:C11,MATCH('Stock Data '!B36,'Product Master'!A2:A11,0))</f>
        <v>60</v>
      </c>
      <c r="I36" s="4" t="str">
        <f t="shared" si="1"/>
        <v>OK</v>
      </c>
    </row>
    <row r="37" spans="1:9" x14ac:dyDescent="0.3">
      <c r="A37" s="4" t="s">
        <v>31</v>
      </c>
      <c r="B37" s="4" t="s">
        <v>16</v>
      </c>
      <c r="C37" s="4" t="s">
        <v>17</v>
      </c>
      <c r="D37" s="4">
        <v>85</v>
      </c>
      <c r="E37" s="4">
        <v>25</v>
      </c>
      <c r="F37" s="4">
        <f t="shared" si="0"/>
        <v>60</v>
      </c>
      <c r="G37" s="4" t="str">
        <f>VLOOKUP(B37,'Product Master'!A2:C11,2,FALSE)</f>
        <v>Personal Care</v>
      </c>
      <c r="H37" s="4">
        <f>INDEX('Product Master'!C2:C11,MATCH('Stock Data '!B37,'Product Master'!A2:A11,0))</f>
        <v>40</v>
      </c>
      <c r="I37" s="4" t="str">
        <f t="shared" si="1"/>
        <v>OK</v>
      </c>
    </row>
    <row r="38" spans="1:9" x14ac:dyDescent="0.3">
      <c r="A38" s="4" t="s">
        <v>31</v>
      </c>
      <c r="B38" s="4" t="s">
        <v>18</v>
      </c>
      <c r="C38" s="4" t="s">
        <v>19</v>
      </c>
      <c r="D38" s="4">
        <v>60</v>
      </c>
      <c r="E38" s="4">
        <v>18</v>
      </c>
      <c r="F38" s="4">
        <f t="shared" si="0"/>
        <v>42</v>
      </c>
      <c r="G38" s="4" t="str">
        <f>VLOOKUP(B38,'Product Master'!A2:C11,2,FALSE)</f>
        <v>Personal Care</v>
      </c>
      <c r="H38" s="4">
        <f>INDEX('Product Master'!C2:C11,MATCH('Stock Data '!B38,'Product Master'!A2:A11,0))</f>
        <v>150</v>
      </c>
      <c r="I38" s="4" t="str">
        <f t="shared" si="1"/>
        <v>OK</v>
      </c>
    </row>
    <row r="39" spans="1:9" x14ac:dyDescent="0.3">
      <c r="A39" s="4" t="s">
        <v>32</v>
      </c>
      <c r="B39" s="4" t="s">
        <v>20</v>
      </c>
      <c r="C39" s="4" t="s">
        <v>21</v>
      </c>
      <c r="D39" s="4">
        <v>55</v>
      </c>
      <c r="E39" s="4">
        <v>12</v>
      </c>
      <c r="F39" s="4">
        <f t="shared" si="0"/>
        <v>43</v>
      </c>
      <c r="G39" s="4" t="str">
        <f>VLOOKUP(B39,'Product Master'!A2:C11,2,FALSE)</f>
        <v>Grocery</v>
      </c>
      <c r="H39" s="4">
        <f>INDEX('Product Master'!C2:C11,MATCH('Stock Data '!B39,'Product Master'!A2:A11,0))</f>
        <v>200</v>
      </c>
      <c r="I39" s="4" t="str">
        <f t="shared" si="1"/>
        <v>OK</v>
      </c>
    </row>
    <row r="40" spans="1:9" x14ac:dyDescent="0.3">
      <c r="A40" s="4" t="s">
        <v>32</v>
      </c>
      <c r="B40" s="4" t="s">
        <v>22</v>
      </c>
      <c r="C40" s="4" t="s">
        <v>23</v>
      </c>
      <c r="D40" s="4">
        <v>45</v>
      </c>
      <c r="E40" s="4">
        <v>8</v>
      </c>
      <c r="F40" s="4">
        <f t="shared" si="0"/>
        <v>37</v>
      </c>
      <c r="G40" s="4" t="str">
        <f>VLOOKUP(B40,'Product Master'!A2:C11,2,FALSE)</f>
        <v>Grocery</v>
      </c>
      <c r="H40" s="4">
        <f>INDEX('Product Master'!C2:C11,MATCH('Stock Data '!B40,'Product Master'!A2:A11,0))</f>
        <v>250</v>
      </c>
      <c r="I40" s="4" t="str">
        <f t="shared" si="1"/>
        <v>OK</v>
      </c>
    </row>
    <row r="41" spans="1:9" x14ac:dyDescent="0.3">
      <c r="A41" s="4" t="s">
        <v>33</v>
      </c>
      <c r="B41" s="4" t="s">
        <v>24</v>
      </c>
      <c r="C41" s="4" t="s">
        <v>25</v>
      </c>
      <c r="D41" s="4">
        <v>80</v>
      </c>
      <c r="E41" s="4">
        <v>30</v>
      </c>
      <c r="F41" s="4">
        <f t="shared" si="0"/>
        <v>50</v>
      </c>
      <c r="G41" s="4" t="str">
        <f>VLOOKUP(B41,'Product Master'!A2:C11,2,FALSE)</f>
        <v>Dairy</v>
      </c>
      <c r="H41" s="4">
        <f>INDEX('Product Master'!C2:C11,MATCH('Stock Data '!B41,'Product Master'!A2:A11,0))</f>
        <v>35</v>
      </c>
      <c r="I41" s="4" t="str">
        <f t="shared" si="1"/>
        <v>OK</v>
      </c>
    </row>
    <row r="42" spans="1:9" x14ac:dyDescent="0.3">
      <c r="A42" s="4" t="s">
        <v>33</v>
      </c>
      <c r="B42" s="4" t="s">
        <v>6</v>
      </c>
      <c r="C42" s="4" t="s">
        <v>7</v>
      </c>
      <c r="D42" s="4">
        <v>75</v>
      </c>
      <c r="E42" s="4">
        <v>18</v>
      </c>
      <c r="F42" s="4">
        <f t="shared" si="0"/>
        <v>57</v>
      </c>
      <c r="G42" s="4" t="str">
        <f>VLOOKUP(B42,'Product Master'!A2:C11,2,FALSE)</f>
        <v>Grocery</v>
      </c>
      <c r="H42" s="4">
        <f>INDEX('Product Master'!C2:C11,MATCH('Stock Data '!B42,'Product Master'!A2:A11,0))</f>
        <v>50</v>
      </c>
      <c r="I42" s="4" t="str">
        <f t="shared" si="1"/>
        <v>OK</v>
      </c>
    </row>
    <row r="43" spans="1:9" x14ac:dyDescent="0.3">
      <c r="A43" s="4" t="s">
        <v>34</v>
      </c>
      <c r="B43" s="4" t="s">
        <v>8</v>
      </c>
      <c r="C43" s="4" t="s">
        <v>9</v>
      </c>
      <c r="D43" s="4">
        <v>50</v>
      </c>
      <c r="E43" s="4">
        <v>12</v>
      </c>
      <c r="F43" s="4">
        <f t="shared" si="0"/>
        <v>38</v>
      </c>
      <c r="G43" s="4" t="str">
        <f>VLOOKUP(B43,'Product Master'!A2:C11,2,FALSE)</f>
        <v>Grocery</v>
      </c>
      <c r="H43" s="4">
        <f>INDEX('Product Master'!C2:C11,MATCH('Stock Data '!B43,'Product Master'!A2:A11,0))</f>
        <v>45</v>
      </c>
      <c r="I43" s="4" t="str">
        <f t="shared" si="1"/>
        <v>OK</v>
      </c>
    </row>
    <row r="44" spans="1:9" x14ac:dyDescent="0.3">
      <c r="A44" s="4" t="s">
        <v>34</v>
      </c>
      <c r="B44" s="4" t="s">
        <v>10</v>
      </c>
      <c r="C44" s="4" t="s">
        <v>11</v>
      </c>
      <c r="D44" s="4">
        <v>35</v>
      </c>
      <c r="E44" s="4">
        <v>5</v>
      </c>
      <c r="F44" s="4">
        <f t="shared" si="0"/>
        <v>30</v>
      </c>
      <c r="G44" s="4" t="str">
        <f>VLOOKUP(B44,'Product Master'!A2:C11,2,FALSE)</f>
        <v>Grocery</v>
      </c>
      <c r="H44" s="4">
        <f>INDEX('Product Master'!C2:C11,MATCH('Stock Data '!B44,'Product Master'!A2:A11,0))</f>
        <v>120</v>
      </c>
      <c r="I44" s="4" t="str">
        <f t="shared" si="1"/>
        <v>OK</v>
      </c>
    </row>
    <row r="45" spans="1:9" x14ac:dyDescent="0.3">
      <c r="A45" s="4" t="s">
        <v>35</v>
      </c>
      <c r="B45" s="4" t="s">
        <v>12</v>
      </c>
      <c r="C45" s="4" t="s">
        <v>13</v>
      </c>
      <c r="D45" s="4">
        <v>60</v>
      </c>
      <c r="E45" s="4">
        <v>15</v>
      </c>
      <c r="F45" s="4">
        <f t="shared" si="0"/>
        <v>45</v>
      </c>
      <c r="G45" s="4" t="str">
        <f>VLOOKUP(B45,'Product Master'!A2:C11,2,FALSE)</f>
        <v>Snacks</v>
      </c>
      <c r="H45" s="4">
        <f>INDEX('Product Master'!C2:C11,MATCH('Stock Data '!B45,'Product Master'!A2:A11,0))</f>
        <v>30</v>
      </c>
      <c r="I45" s="4" t="str">
        <f t="shared" si="1"/>
        <v>OK</v>
      </c>
    </row>
    <row r="46" spans="1:9" x14ac:dyDescent="0.3">
      <c r="A46" s="4" t="s">
        <v>35</v>
      </c>
      <c r="B46" s="4" t="s">
        <v>14</v>
      </c>
      <c r="C46" s="4" t="s">
        <v>15</v>
      </c>
      <c r="D46" s="4">
        <v>45</v>
      </c>
      <c r="E46" s="4">
        <v>10</v>
      </c>
      <c r="F46" s="4">
        <f t="shared" si="0"/>
        <v>35</v>
      </c>
      <c r="G46" s="4" t="str">
        <f>VLOOKUP(B46,'Product Master'!A2:C11,2,FALSE)</f>
        <v>Beverages</v>
      </c>
      <c r="H46" s="4">
        <f>INDEX('Product Master'!C2:C11,MATCH('Stock Data '!B46,'Product Master'!A2:A11,0))</f>
        <v>60</v>
      </c>
      <c r="I46" s="4" t="str">
        <f t="shared" si="1"/>
        <v>OK</v>
      </c>
    </row>
    <row r="47" spans="1:9" x14ac:dyDescent="0.3">
      <c r="A47" s="4" t="s">
        <v>36</v>
      </c>
      <c r="B47" s="4" t="s">
        <v>16</v>
      </c>
      <c r="C47" s="4" t="s">
        <v>17</v>
      </c>
      <c r="D47" s="4">
        <v>80</v>
      </c>
      <c r="E47" s="4">
        <v>20</v>
      </c>
      <c r="F47" s="4">
        <f t="shared" si="0"/>
        <v>60</v>
      </c>
      <c r="G47" s="4" t="str">
        <f>VLOOKUP(B47,'Product Master'!A2:C11,2,FALSE)</f>
        <v>Personal Care</v>
      </c>
      <c r="H47" s="4">
        <f>INDEX('Product Master'!C2:C11,MATCH('Stock Data '!B47,'Product Master'!A2:A11,0))</f>
        <v>40</v>
      </c>
      <c r="I47" s="4" t="str">
        <f t="shared" si="1"/>
        <v>OK</v>
      </c>
    </row>
    <row r="48" spans="1:9" x14ac:dyDescent="0.3">
      <c r="A48" s="4" t="s">
        <v>36</v>
      </c>
      <c r="B48" s="4" t="s">
        <v>18</v>
      </c>
      <c r="C48" s="4" t="s">
        <v>19</v>
      </c>
      <c r="D48" s="4">
        <v>55</v>
      </c>
      <c r="E48" s="4">
        <v>15</v>
      </c>
      <c r="F48" s="4">
        <f t="shared" si="0"/>
        <v>40</v>
      </c>
      <c r="G48" s="4" t="str">
        <f>VLOOKUP(B48,'Product Master'!A2:C11,2,FALSE)</f>
        <v>Personal Care</v>
      </c>
      <c r="H48" s="4">
        <f>INDEX('Product Master'!C2:C11,MATCH('Stock Data '!B48,'Product Master'!A2:A11,0))</f>
        <v>150</v>
      </c>
      <c r="I48" s="4" t="str">
        <f t="shared" si="1"/>
        <v>OK</v>
      </c>
    </row>
    <row r="49" spans="1:9" x14ac:dyDescent="0.3">
      <c r="A49" s="4" t="s">
        <v>37</v>
      </c>
      <c r="B49" s="4" t="s">
        <v>20</v>
      </c>
      <c r="C49" s="4" t="s">
        <v>21</v>
      </c>
      <c r="D49" s="4">
        <v>50</v>
      </c>
      <c r="E49" s="4">
        <v>10</v>
      </c>
      <c r="F49" s="4">
        <f t="shared" si="0"/>
        <v>40</v>
      </c>
      <c r="G49" s="4" t="str">
        <f>VLOOKUP(B49,'Product Master'!A2:C11,2,FALSE)</f>
        <v>Grocery</v>
      </c>
      <c r="H49" s="4">
        <f>INDEX('Product Master'!C2:C11,MATCH('Stock Data '!B49,'Product Master'!A2:A11,0))</f>
        <v>200</v>
      </c>
      <c r="I49" s="4" t="str">
        <f t="shared" si="1"/>
        <v>OK</v>
      </c>
    </row>
    <row r="50" spans="1:9" x14ac:dyDescent="0.3">
      <c r="A50" s="4" t="s">
        <v>37</v>
      </c>
      <c r="B50" s="4" t="s">
        <v>22</v>
      </c>
      <c r="C50" s="4" t="s">
        <v>23</v>
      </c>
      <c r="D50" s="4">
        <v>40</v>
      </c>
      <c r="E50" s="4">
        <v>5</v>
      </c>
      <c r="F50" s="4">
        <f t="shared" si="0"/>
        <v>35</v>
      </c>
      <c r="G50" s="4" t="str">
        <f>VLOOKUP(B50,'Product Master'!A2:C11,2,FALSE)</f>
        <v>Grocery</v>
      </c>
      <c r="H50" s="4">
        <f>INDEX('Product Master'!C2:C11,MATCH('Stock Data '!B50,'Product Master'!A2:A11,0))</f>
        <v>250</v>
      </c>
      <c r="I50" s="4" t="str">
        <f t="shared" si="1"/>
        <v>OK</v>
      </c>
    </row>
    <row r="51" spans="1:9" x14ac:dyDescent="0.3">
      <c r="A51" s="4" t="s">
        <v>38</v>
      </c>
      <c r="B51" s="4" t="s">
        <v>24</v>
      </c>
      <c r="C51" s="4" t="s">
        <v>25</v>
      </c>
      <c r="D51" s="4">
        <v>75</v>
      </c>
      <c r="E51" s="4">
        <v>25</v>
      </c>
      <c r="F51" s="4">
        <f t="shared" si="0"/>
        <v>50</v>
      </c>
      <c r="G51" s="4" t="str">
        <f>VLOOKUP(B51,'Product Master'!A2:C11,2,FALSE)</f>
        <v>Dairy</v>
      </c>
      <c r="H51" s="4">
        <f>INDEX('Product Master'!C2:C11,MATCH('Stock Data '!B51,'Product Master'!A2:A11,0))</f>
        <v>35</v>
      </c>
      <c r="I51" s="4" t="str">
        <f t="shared" si="1"/>
        <v>OK</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CED5F-48CA-4B69-A21E-CF3937DC2C4B}">
  <dimension ref="A2:F5"/>
  <sheetViews>
    <sheetView workbookViewId="0">
      <selection activeCell="B21" sqref="B21"/>
    </sheetView>
  </sheetViews>
  <sheetFormatPr defaultRowHeight="14.4" x14ac:dyDescent="0.3"/>
  <cols>
    <col min="1" max="1" width="12.5546875" bestFit="1" customWidth="1"/>
    <col min="2" max="2" width="21.77734375" bestFit="1" customWidth="1"/>
    <col min="3" max="3" width="12.5546875" bestFit="1" customWidth="1"/>
    <col min="4" max="4" width="21.6640625" bestFit="1" customWidth="1"/>
    <col min="5" max="5" width="12.5546875" bestFit="1" customWidth="1"/>
    <col min="6" max="6" width="21.77734375" bestFit="1" customWidth="1"/>
  </cols>
  <sheetData>
    <row r="2" spans="1:6" x14ac:dyDescent="0.3">
      <c r="A2" s="5"/>
      <c r="B2" s="5" t="s">
        <v>56</v>
      </c>
      <c r="C2" s="5"/>
      <c r="D2" s="5" t="s">
        <v>59</v>
      </c>
      <c r="E2" s="5"/>
      <c r="F2" s="5" t="s">
        <v>60</v>
      </c>
    </row>
    <row r="3" spans="1:6" x14ac:dyDescent="0.3">
      <c r="A3" s="6" t="s">
        <v>53</v>
      </c>
      <c r="B3" s="7" t="s">
        <v>55</v>
      </c>
      <c r="C3" s="6" t="s">
        <v>53</v>
      </c>
      <c r="D3" s="7" t="s">
        <v>58</v>
      </c>
      <c r="E3" s="6" t="s">
        <v>53</v>
      </c>
      <c r="F3" s="7" t="s">
        <v>55</v>
      </c>
    </row>
    <row r="4" spans="1:6" x14ac:dyDescent="0.3">
      <c r="A4" s="8" t="s">
        <v>41</v>
      </c>
      <c r="B4" s="7">
        <v>220</v>
      </c>
      <c r="C4" s="8" t="s">
        <v>57</v>
      </c>
      <c r="D4" s="7">
        <v>5</v>
      </c>
      <c r="E4" s="8" t="s">
        <v>19</v>
      </c>
      <c r="F4" s="7">
        <v>42</v>
      </c>
    </row>
    <row r="5" spans="1:6" x14ac:dyDescent="0.3">
      <c r="A5" s="8" t="s">
        <v>54</v>
      </c>
      <c r="B5" s="7">
        <v>220</v>
      </c>
      <c r="C5" s="8" t="s">
        <v>54</v>
      </c>
      <c r="D5" s="7">
        <v>5</v>
      </c>
      <c r="E5" s="8" t="s">
        <v>54</v>
      </c>
      <c r="F5" s="7">
        <v>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11A66-E545-4027-9564-D6C3728E3618}">
  <dimension ref="A1:C11"/>
  <sheetViews>
    <sheetView workbookViewId="0">
      <selection activeCell="C15" sqref="C15"/>
    </sheetView>
  </sheetViews>
  <sheetFormatPr defaultRowHeight="14.4" x14ac:dyDescent="0.3"/>
  <cols>
    <col min="1" max="1" width="14.21875" customWidth="1"/>
    <col min="2" max="2" width="17.33203125" customWidth="1"/>
    <col min="3" max="3" width="12.33203125" customWidth="1"/>
  </cols>
  <sheetData>
    <row r="1" spans="1:3" x14ac:dyDescent="0.3">
      <c r="A1" s="9" t="s">
        <v>1</v>
      </c>
      <c r="B1" s="9" t="s">
        <v>39</v>
      </c>
      <c r="C1" s="9" t="s">
        <v>40</v>
      </c>
    </row>
    <row r="2" spans="1:3" x14ac:dyDescent="0.3">
      <c r="A2" s="10" t="s">
        <v>6</v>
      </c>
      <c r="B2" s="10" t="s">
        <v>41</v>
      </c>
      <c r="C2" s="10">
        <v>50</v>
      </c>
    </row>
    <row r="3" spans="1:3" x14ac:dyDescent="0.3">
      <c r="A3" s="10" t="s">
        <v>8</v>
      </c>
      <c r="B3" s="10" t="s">
        <v>41</v>
      </c>
      <c r="C3" s="10">
        <v>45</v>
      </c>
    </row>
    <row r="4" spans="1:3" x14ac:dyDescent="0.3">
      <c r="A4" s="10" t="s">
        <v>10</v>
      </c>
      <c r="B4" s="10" t="s">
        <v>41</v>
      </c>
      <c r="C4" s="10">
        <v>120</v>
      </c>
    </row>
    <row r="5" spans="1:3" x14ac:dyDescent="0.3">
      <c r="A5" s="10" t="s">
        <v>12</v>
      </c>
      <c r="B5" s="10" t="s">
        <v>42</v>
      </c>
      <c r="C5" s="10">
        <v>30</v>
      </c>
    </row>
    <row r="6" spans="1:3" x14ac:dyDescent="0.3">
      <c r="A6" s="10" t="s">
        <v>14</v>
      </c>
      <c r="B6" s="10" t="s">
        <v>43</v>
      </c>
      <c r="C6" s="10">
        <v>60</v>
      </c>
    </row>
    <row r="7" spans="1:3" x14ac:dyDescent="0.3">
      <c r="A7" s="10" t="s">
        <v>16</v>
      </c>
      <c r="B7" s="10" t="s">
        <v>44</v>
      </c>
      <c r="C7" s="10">
        <v>40</v>
      </c>
    </row>
    <row r="8" spans="1:3" x14ac:dyDescent="0.3">
      <c r="A8" s="10" t="s">
        <v>18</v>
      </c>
      <c r="B8" s="10" t="s">
        <v>44</v>
      </c>
      <c r="C8" s="10">
        <v>150</v>
      </c>
    </row>
    <row r="9" spans="1:3" x14ac:dyDescent="0.3">
      <c r="A9" s="10" t="s">
        <v>20</v>
      </c>
      <c r="B9" s="10" t="s">
        <v>41</v>
      </c>
      <c r="C9" s="10">
        <v>200</v>
      </c>
    </row>
    <row r="10" spans="1:3" x14ac:dyDescent="0.3">
      <c r="A10" s="10" t="s">
        <v>22</v>
      </c>
      <c r="B10" s="10" t="s">
        <v>41</v>
      </c>
      <c r="C10" s="10">
        <v>250</v>
      </c>
    </row>
    <row r="11" spans="1:3" x14ac:dyDescent="0.3">
      <c r="A11" s="10" t="s">
        <v>24</v>
      </c>
      <c r="B11" s="10" t="s">
        <v>45</v>
      </c>
      <c r="C11" s="10">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96932-5D56-4F3B-9079-5DD84DD8A4B1}">
  <dimension ref="A1:N26"/>
  <sheetViews>
    <sheetView zoomScale="66" workbookViewId="0">
      <selection activeCell="C36" sqref="C36"/>
    </sheetView>
  </sheetViews>
  <sheetFormatPr defaultRowHeight="14.4" x14ac:dyDescent="0.3"/>
  <cols>
    <col min="1" max="1" width="20.6640625" customWidth="1"/>
    <col min="2" max="2" width="29.5546875" customWidth="1"/>
    <col min="3" max="3" width="16.21875" customWidth="1"/>
    <col min="4" max="4" width="14.33203125" customWidth="1"/>
    <col min="5" max="5" width="15.44140625" customWidth="1"/>
    <col min="6" max="6" width="39.6640625" customWidth="1"/>
    <col min="14" max="14" width="26.5546875" customWidth="1"/>
  </cols>
  <sheetData>
    <row r="1" spans="1:2" x14ac:dyDescent="0.3">
      <c r="A1" s="5" t="s">
        <v>49</v>
      </c>
      <c r="B1" s="5"/>
    </row>
    <row r="2" spans="1:2" x14ac:dyDescent="0.3">
      <c r="A2" s="11" t="s">
        <v>50</v>
      </c>
      <c r="B2" s="12">
        <f>COUNTA('Stock Data '!F2:F51)</f>
        <v>50</v>
      </c>
    </row>
    <row r="3" spans="1:2" x14ac:dyDescent="0.3">
      <c r="A3" s="11" t="s">
        <v>51</v>
      </c>
      <c r="B3" s="12">
        <f>SUM('Stock Data '!F2:F51)</f>
        <v>2459</v>
      </c>
    </row>
    <row r="4" spans="1:2" x14ac:dyDescent="0.3">
      <c r="A4" s="11" t="s">
        <v>52</v>
      </c>
      <c r="B4" s="12">
        <v>0</v>
      </c>
    </row>
    <row r="5" spans="1:2" x14ac:dyDescent="0.3">
      <c r="A5" s="11" t="s">
        <v>61</v>
      </c>
      <c r="B5" s="12">
        <f>COUNTA('Stock Data '!C2:C51)</f>
        <v>50</v>
      </c>
    </row>
    <row r="6" spans="1:2" x14ac:dyDescent="0.3">
      <c r="A6" s="1"/>
    </row>
    <row r="7" spans="1:2" x14ac:dyDescent="0.3">
      <c r="A7" s="1"/>
    </row>
    <row r="8" spans="1:2" x14ac:dyDescent="0.3">
      <c r="A8" s="1"/>
    </row>
    <row r="9" spans="1:2" x14ac:dyDescent="0.3">
      <c r="A9" s="1"/>
    </row>
    <row r="10" spans="1:2" x14ac:dyDescent="0.3">
      <c r="A10" s="1"/>
    </row>
    <row r="11" spans="1:2" x14ac:dyDescent="0.3">
      <c r="A11" s="1"/>
    </row>
    <row r="12" spans="1:2" x14ac:dyDescent="0.3">
      <c r="A12" s="1"/>
    </row>
    <row r="13" spans="1:2" x14ac:dyDescent="0.3">
      <c r="A13" s="1"/>
    </row>
    <row r="14" spans="1:2" x14ac:dyDescent="0.3">
      <c r="A14" s="1"/>
    </row>
    <row r="15" spans="1:2" x14ac:dyDescent="0.3">
      <c r="A15" s="1"/>
    </row>
    <row r="16" spans="1:2" x14ac:dyDescent="0.3">
      <c r="A16" s="1"/>
    </row>
    <row r="17" spans="1:14" x14ac:dyDescent="0.3">
      <c r="A17" s="1"/>
    </row>
    <row r="18" spans="1:14" x14ac:dyDescent="0.3">
      <c r="A18" s="1"/>
    </row>
    <row r="19" spans="1:14" x14ac:dyDescent="0.3">
      <c r="A19" s="1"/>
    </row>
    <row r="20" spans="1:14" x14ac:dyDescent="0.3">
      <c r="A20" s="1"/>
    </row>
    <row r="21" spans="1:14" x14ac:dyDescent="0.3">
      <c r="A21" s="1"/>
    </row>
    <row r="22" spans="1:14" x14ac:dyDescent="0.3">
      <c r="A22" s="1"/>
    </row>
    <row r="23" spans="1:14" x14ac:dyDescent="0.3">
      <c r="A23" s="1"/>
    </row>
    <row r="24" spans="1:14" x14ac:dyDescent="0.3">
      <c r="A24" s="1"/>
    </row>
    <row r="25" spans="1:14" x14ac:dyDescent="0.3">
      <c r="A25" s="1"/>
    </row>
    <row r="26" spans="1:14" x14ac:dyDescent="0.3">
      <c r="A26" s="13"/>
      <c r="B26" s="5" t="s">
        <v>62</v>
      </c>
      <c r="C26" s="5"/>
      <c r="D26" s="5"/>
      <c r="E26" s="5"/>
      <c r="F26" s="5" t="s">
        <v>63</v>
      </c>
      <c r="G26" s="5"/>
      <c r="H26" s="5"/>
      <c r="I26" s="5"/>
      <c r="J26" s="5"/>
      <c r="K26" s="5"/>
      <c r="L26" s="5"/>
      <c r="M26" s="5"/>
      <c r="N26" s="5" t="s">
        <v>64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Stock Data </vt:lpstr>
      <vt:lpstr>PIVOT TABLE</vt:lpstr>
      <vt:lpstr>Product Master</vt:lpstr>
      <vt:lpstr>MIS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dc:creator>
  <cp:lastModifiedBy>hi</cp:lastModifiedBy>
  <dcterms:created xsi:type="dcterms:W3CDTF">2026-04-17T04:59:30Z</dcterms:created>
  <dcterms:modified xsi:type="dcterms:W3CDTF">2026-04-17T06:29:03Z</dcterms:modified>
</cp:coreProperties>
</file>