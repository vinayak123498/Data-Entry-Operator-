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65BD9649-5D7B-4DC4-B9AC-75912BEFFED5}" xr6:coauthVersionLast="47" xr6:coauthVersionMax="47" xr10:uidLastSave="{00000000-0000-0000-0000-000000000000}"/>
  <bookViews>
    <workbookView xWindow="-108" yWindow="-108" windowWidth="23256" windowHeight="12456" xr2:uid="{A30DE194-AA65-4025-B86F-988EC8F16C00}"/>
  </bookViews>
  <sheets>
    <sheet name="RAW DATA" sheetId="1" r:id="rId1"/>
    <sheet name="PIVOT TABLE" sheetId="4" r:id="rId2"/>
    <sheet name="MIS REPORT" sheetId="6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6" l="1"/>
  <c r="E3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E52" i="1"/>
  <c r="F52" i="1"/>
  <c r="G5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J52" i="1" s="1"/>
</calcChain>
</file>

<file path=xl/sharedStrings.xml><?xml version="1.0" encoding="utf-8"?>
<sst xmlns="http://schemas.openxmlformats.org/spreadsheetml/2006/main" count="332" uniqueCount="107">
  <si>
    <t xml:space="preserve">Date </t>
  </si>
  <si>
    <t>Invoice No</t>
  </si>
  <si>
    <t>Product</t>
  </si>
  <si>
    <t>Category</t>
  </si>
  <si>
    <t>Quantity</t>
  </si>
  <si>
    <t>Price</t>
  </si>
  <si>
    <t>Total</t>
  </si>
  <si>
    <t xml:space="preserve">Salesperson </t>
  </si>
  <si>
    <t>City</t>
  </si>
  <si>
    <t>INV001</t>
  </si>
  <si>
    <t>Laptop</t>
  </si>
  <si>
    <t>Electronics</t>
  </si>
  <si>
    <t>Arun</t>
  </si>
  <si>
    <t>Thrissur</t>
  </si>
  <si>
    <t>INV002</t>
  </si>
  <si>
    <t>Shirt</t>
  </si>
  <si>
    <t>Clothing</t>
  </si>
  <si>
    <t>Rahul</t>
  </si>
  <si>
    <t>Kochi</t>
  </si>
  <si>
    <t>INV003</t>
  </si>
  <si>
    <t>Mobile</t>
  </si>
  <si>
    <t>Calicut</t>
  </si>
  <si>
    <t>INV004</t>
  </si>
  <si>
    <t>Jeans</t>
  </si>
  <si>
    <t>Sneha</t>
  </si>
  <si>
    <t>INV005</t>
  </si>
  <si>
    <t>TV</t>
  </si>
  <si>
    <t>INV006</t>
  </si>
  <si>
    <t>Shoes</t>
  </si>
  <si>
    <t>Footwear</t>
  </si>
  <si>
    <t>INV007</t>
  </si>
  <si>
    <t>Watch</t>
  </si>
  <si>
    <t>Accessories</t>
  </si>
  <si>
    <t>INV008</t>
  </si>
  <si>
    <t>Tablet</t>
  </si>
  <si>
    <t>INV009</t>
  </si>
  <si>
    <t>T-shirt</t>
  </si>
  <si>
    <t>INV010</t>
  </si>
  <si>
    <t>Headphones</t>
  </si>
  <si>
    <t>INV011</t>
  </si>
  <si>
    <t>INV012</t>
  </si>
  <si>
    <t>Sandals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</si>
  <si>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</si>
  <si>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</si>
  <si>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</si>
  <si>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</si>
  <si>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</si>
  <si>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</si>
  <si>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</si>
  <si>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</si>
  <si>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</si>
  <si>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</si>
  <si>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</si>
  <si>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</si>
  <si>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</si>
  <si>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</si>
  <si>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</si>
  <si>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</si>
  <si>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</si>
  <si>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</si>
  <si>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</si>
  <si>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</si>
  <si>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</si>
  <si>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</si>
  <si>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</si>
  <si>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</si>
  <si>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</si>
  <si>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</si>
  <si>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</si>
  <si>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</si>
  <si>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</si>
  <si>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</si>
  <si>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</si>
  <si>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</si>
  <si>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</si>
  <si>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</si>
  <si>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</si>
  <si>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</si>
  <si>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</si>
  <si>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</si>
  <si>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 xml:space="preserve">Total Sales 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</si>
  <si>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</si>
  <si>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</si>
  <si>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</si>
  <si>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</si>
  <si>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</si>
  <si>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</si>
  <si>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</si>
  <si>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</si>
  <si>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</si>
  <si>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</si>
  <si>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</si>
  <si>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</si>
  <si>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</si>
  <si>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 xml:space="preserve">IF Conditional </t>
  </si>
  <si>
    <t>Row Labels</t>
  </si>
  <si>
    <t>Grand Total</t>
  </si>
  <si>
    <t xml:space="preserve">Sum of Total Sales </t>
  </si>
  <si>
    <t>SALES BY CATEGORY</t>
  </si>
  <si>
    <t>SALE BY CITY</t>
  </si>
  <si>
    <t xml:space="preserve">SALESPERSON PERFORMANCE </t>
  </si>
  <si>
    <t xml:space="preserve">SALE BY DATE </t>
  </si>
  <si>
    <t xml:space="preserve">Total Orders </t>
  </si>
  <si>
    <t>KPI</t>
  </si>
  <si>
    <t>CATEGORY SALES</t>
  </si>
  <si>
    <t>CITY SALES</t>
  </si>
  <si>
    <t>📊 Project: Sales Data Management &amp; MIS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</si>
</sst>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14" fontId="0" fillId="0" borderId="0" xfId="0" applyNumberFormat="1" applyAlignment="1">
      <alignment horizontal="left"/>
    </xf>
    <xf numFmtId="0" fontId="3" fillId="3" borderId="1" xfId="0" applyFont="1" applyFill="1" applyBorder="1"/>
    <xf numFmtId="14" fontId="4" fillId="4" borderId="1" xfId="0" applyNumberFormat="1" applyFont="1" applyFill="1" applyBorder="1"/>
    <xf numFmtId="0" fontId="4" fillId="4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Operator Project 1.xlsx]PIVOT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Sales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Footwear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17300</c:v>
                </c:pt>
                <c:pt idx="1">
                  <c:v>21700</c:v>
                </c:pt>
                <c:pt idx="2">
                  <c:v>734600</c:v>
                </c:pt>
                <c:pt idx="3">
                  <c:v>30600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9-4186-BBF5-EC0E9A02B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0723599"/>
        <c:axId val="970724079"/>
      </c:barChart>
      <c:catAx>
        <c:axId val="97072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24079"/>
        <c:crosses val="autoZero"/>
        <c:auto val="1"/>
        <c:lblAlgn val="ctr"/>
        <c:lblOffset val="100"/>
        <c:noMultiLvlLbl val="0"/>
      </c:catAx>
      <c:valAx>
        <c:axId val="9707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2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Operator Project 1.xlsx]PIVOT TABLE!PivotTable9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TABLE'!$E$4:$E$7</c:f>
              <c:strCache>
                <c:ptCount val="3"/>
                <c:pt idx="0">
                  <c:v>Calicut</c:v>
                </c:pt>
                <c:pt idx="1">
                  <c:v>Kochi</c:v>
                </c:pt>
                <c:pt idx="2">
                  <c:v>Thrissur</c:v>
                </c:pt>
              </c:strCache>
            </c:strRef>
          </c:cat>
          <c:val>
            <c:numRef>
              <c:f>'PIVOT TABLE'!$F$4:$F$7</c:f>
              <c:numCache>
                <c:formatCode>General</c:formatCode>
                <c:ptCount val="3"/>
                <c:pt idx="0">
                  <c:v>222500</c:v>
                </c:pt>
                <c:pt idx="1">
                  <c:v>295800</c:v>
                </c:pt>
                <c:pt idx="2">
                  <c:v>285900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D-4E80-A247-B3BF0D89A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0727919"/>
        <c:axId val="970744719"/>
      </c:barChart>
      <c:catAx>
        <c:axId val="97072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44719"/>
        <c:crosses val="autoZero"/>
        <c:auto val="1"/>
        <c:lblAlgn val="ctr"/>
        <c:lblOffset val="100"/>
        <c:noMultiLvlLbl val="0"/>
      </c:catAx>
      <c:valAx>
        <c:axId val="97074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2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22860</xdr:rowOff>
    </xdr:from>
    <xdr:to>
      <xdr:col>7</xdr:col>
      <xdr:colOff>68580</xdr:colOff>
      <xdr:row>21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E70D00-B979-4659-B812-BAA9BA3FA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6</xdr:row>
      <xdr:rowOff>30480</xdr:rowOff>
    </xdr:from>
    <xdr:to>
      <xdr:col>14</xdr:col>
      <xdr:colOff>381000</xdr:colOff>
      <xdr:row>21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12EB1D-44C1-4A4B-8124-B3FC4FA28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28.899770949072" createdVersion="8" refreshedVersion="8" minRefreshableVersion="3" recordCount="50" xr:uid="{161C281F-2FFE-46A3-AABD-BA013E83487B}">
  <cacheSource type="worksheet">
    <worksheetSource ref="A1:K51" sheet="RAW DATA"/>
  </cacheSource>
  <cacheFields count="11">
    <cacheField name="Date " numFmtId="14">
      <sharedItems containsDate="1" containsMixedTypes="1" minDate="2026-01-04T00:00:00" maxDate="2026-12-05T00:00:00" count="25"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13/04/2026"/>
        <s v="14/04/2026"/>
        <s v="15/04/2026"/>
        <s v="16/04/2026"/>
        <s v="17/04/2026"/>
        <s v="18/04/2026"/>
        <s v="19/04/2026"/>
        <s v="20/04/2026"/>
        <s v="21/04/2026"/>
        <s v="22/04/2026"/>
        <s v="23/04/2026"/>
        <s v="24/04/2026"/>
        <s v="25/04/2026"/>
      </sharedItems>
    </cacheField>
    <cacheField name="Invoice No" numFmtId="0">
      <sharedItems/>
    </cacheField>
    <cacheField name="Product" numFmtId="0">
      <sharedItems/>
    </cacheField>
    <cacheField name="Category" numFmtId="0">
      <sharedItems count="4">
        <s v="Electronics"/>
        <s v="Clothing"/>
        <s v="Footwear"/>
        <s v="Accessories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400" maxValue="55000"/>
    </cacheField>
    <cacheField name="Total" numFmtId="0">
      <sharedItems containsSemiMixedTypes="0" containsString="0" containsNumber="1" containsInteger="1" minValue="1100" maxValue="55000"/>
    </cacheField>
    <cacheField name="Salesperson " numFmtId="0">
      <sharedItems count="3">
        <s v="Arun"/>
        <s v="Rahul"/>
        <s v="Sneha"/>
      </sharedItems>
    </cacheField>
    <cacheField name="City" numFmtId="0">
      <sharedItems count="3">
        <s v="Thrissur"/>
        <s v="Kochi"/>
        <s v="Calicut"/>
      </sharedItems>
    </cacheField>
    <cacheField name="Total Sales " numFmtId="0">
      <sharedItems containsSemiMixedTypes="0" containsString="0" containsNumber="1" containsInteger="1" minValue="1100" maxValue="55000"/>
    </cacheField>
    <cacheField name="IF Conditional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INV001"/>
    <s v="Laptop"/>
    <x v="0"/>
    <n v="1"/>
    <n v="50000"/>
    <n v="50000"/>
    <x v="0"/>
    <x v="0"/>
    <n v="50000"/>
    <s v="High Sale"/>
  </r>
  <r>
    <x v="0"/>
    <s v="INV002"/>
    <s v="Shirt"/>
    <x v="1"/>
    <n v="2"/>
    <n v="1000"/>
    <n v="2000"/>
    <x v="1"/>
    <x v="1"/>
    <n v="2000"/>
    <s v="Low Sale"/>
  </r>
  <r>
    <x v="1"/>
    <s v="INV003"/>
    <s v="Mobile"/>
    <x v="0"/>
    <n v="1"/>
    <n v="20000"/>
    <n v="20000"/>
    <x v="0"/>
    <x v="2"/>
    <n v="20000"/>
    <s v="Low Sale"/>
  </r>
  <r>
    <x v="1"/>
    <s v="INV004"/>
    <s v="Jeans"/>
    <x v="1"/>
    <n v="1"/>
    <n v="1500"/>
    <n v="1500"/>
    <x v="2"/>
    <x v="0"/>
    <n v="1500"/>
    <s v="Low Sale"/>
  </r>
  <r>
    <x v="2"/>
    <s v="INV005"/>
    <s v="TV"/>
    <x v="0"/>
    <n v="1"/>
    <n v="40000"/>
    <n v="40000"/>
    <x v="1"/>
    <x v="1"/>
    <n v="40000"/>
    <s v="High Sale"/>
  </r>
  <r>
    <x v="2"/>
    <s v="INV006"/>
    <s v="Shoes"/>
    <x v="2"/>
    <n v="2"/>
    <n v="2000"/>
    <n v="4000"/>
    <x v="0"/>
    <x v="0"/>
    <n v="4000"/>
    <s v="Low Sale"/>
  </r>
  <r>
    <x v="3"/>
    <s v="INV007"/>
    <s v="Watch"/>
    <x v="3"/>
    <n v="3"/>
    <n v="1500"/>
    <n v="4500"/>
    <x v="2"/>
    <x v="2"/>
    <n v="4500"/>
    <s v="Low Sale"/>
  </r>
  <r>
    <x v="3"/>
    <s v="INV008"/>
    <s v="Tablet"/>
    <x v="0"/>
    <n v="1"/>
    <n v="30000"/>
    <n v="30000"/>
    <x v="1"/>
    <x v="1"/>
    <n v="30000"/>
    <s v="High Sale"/>
  </r>
  <r>
    <x v="4"/>
    <s v="INV009"/>
    <s v="T-shirt"/>
    <x v="1"/>
    <n v="4"/>
    <n v="500"/>
    <n v="2000"/>
    <x v="0"/>
    <x v="0"/>
    <n v="2000"/>
    <s v="Low Sale"/>
  </r>
  <r>
    <x v="4"/>
    <s v="INV010"/>
    <s v="Headphones"/>
    <x v="0"/>
    <n v="2"/>
    <n v="3000"/>
    <n v="6000"/>
    <x v="2"/>
    <x v="2"/>
    <n v="6000"/>
    <s v="Low Sale"/>
  </r>
  <r>
    <x v="5"/>
    <s v="INV011"/>
    <s v="Laptop"/>
    <x v="0"/>
    <n v="1"/>
    <n v="55000"/>
    <n v="55000"/>
    <x v="1"/>
    <x v="1"/>
    <n v="55000"/>
    <s v="High Sale"/>
  </r>
  <r>
    <x v="5"/>
    <s v="INV012"/>
    <s v="Sandals"/>
    <x v="2"/>
    <n v="2"/>
    <n v="1200"/>
    <n v="2400"/>
    <x v="0"/>
    <x v="0"/>
    <n v="2400"/>
    <s v="Low Sale"/>
  </r>
  <r>
    <x v="6"/>
    <s v="INV013"/>
    <s v="Mobile"/>
    <x v="0"/>
    <n v="1"/>
    <n v="18000"/>
    <n v="18000"/>
    <x v="2"/>
    <x v="2"/>
    <n v="18000"/>
    <s v="Low Sale"/>
  </r>
  <r>
    <x v="6"/>
    <s v="INV014"/>
    <s v="Shirt"/>
    <x v="1"/>
    <n v="3"/>
    <n v="900"/>
    <n v="2700"/>
    <x v="1"/>
    <x v="1"/>
    <n v="2700"/>
    <s v="Low Sale"/>
  </r>
  <r>
    <x v="7"/>
    <s v="INV015"/>
    <s v="TV"/>
    <x v="0"/>
    <n v="1"/>
    <n v="38000"/>
    <n v="38000"/>
    <x v="0"/>
    <x v="0"/>
    <n v="38000"/>
    <s v="High Sale"/>
  </r>
  <r>
    <x v="7"/>
    <s v="INV016"/>
    <s v="Shoes"/>
    <x v="2"/>
    <n v="2"/>
    <n v="2500"/>
    <n v="5000"/>
    <x v="2"/>
    <x v="2"/>
    <n v="5000"/>
    <s v="Low Sale"/>
  </r>
  <r>
    <x v="8"/>
    <s v="INV017"/>
    <s v="Watch"/>
    <x v="3"/>
    <n v="1"/>
    <n v="2000"/>
    <n v="2000"/>
    <x v="1"/>
    <x v="1"/>
    <n v="2000"/>
    <s v="Low Sale"/>
  </r>
  <r>
    <x v="8"/>
    <s v="INV018"/>
    <s v="Tablet"/>
    <x v="0"/>
    <n v="1"/>
    <n v="28000"/>
    <n v="28000"/>
    <x v="0"/>
    <x v="0"/>
    <n v="28000"/>
    <s v="High Sale"/>
  </r>
  <r>
    <x v="9"/>
    <s v="INV019"/>
    <s v="T-shirt"/>
    <x v="1"/>
    <n v="5"/>
    <n v="400"/>
    <n v="2000"/>
    <x v="2"/>
    <x v="2"/>
    <n v="2000"/>
    <s v="Low Sale"/>
  </r>
  <r>
    <x v="9"/>
    <s v="INV020"/>
    <s v="Headphones"/>
    <x v="0"/>
    <n v="1"/>
    <n v="3500"/>
    <n v="3500"/>
    <x v="1"/>
    <x v="1"/>
    <n v="3500"/>
    <s v="Low Sale"/>
  </r>
  <r>
    <x v="10"/>
    <s v="INV021"/>
    <s v="Laptop"/>
    <x v="0"/>
    <n v="1"/>
    <n v="52000"/>
    <n v="52000"/>
    <x v="0"/>
    <x v="0"/>
    <n v="52000"/>
    <s v="High Sale"/>
  </r>
  <r>
    <x v="10"/>
    <s v="INV022"/>
    <s v="Sandals"/>
    <x v="2"/>
    <n v="3"/>
    <n v="1000"/>
    <n v="3000"/>
    <x v="2"/>
    <x v="2"/>
    <n v="3000"/>
    <s v="Low Sale"/>
  </r>
  <r>
    <x v="11"/>
    <s v="INV023"/>
    <s v="Mobile"/>
    <x v="0"/>
    <n v="1"/>
    <n v="21000"/>
    <n v="21000"/>
    <x v="1"/>
    <x v="1"/>
    <n v="21000"/>
    <s v="High Sale"/>
  </r>
  <r>
    <x v="11"/>
    <s v="INV024"/>
    <s v="Jeans"/>
    <x v="1"/>
    <n v="2"/>
    <n v="1600"/>
    <n v="3200"/>
    <x v="0"/>
    <x v="0"/>
    <n v="3200"/>
    <s v="Low Sale"/>
  </r>
  <r>
    <x v="12"/>
    <s v="INV025"/>
    <s v="TV"/>
    <x v="0"/>
    <n v="1"/>
    <n v="42000"/>
    <n v="42000"/>
    <x v="2"/>
    <x v="2"/>
    <n v="42000"/>
    <s v="High Sale"/>
  </r>
  <r>
    <x v="12"/>
    <s v="INV026"/>
    <s v="Shoes"/>
    <x v="2"/>
    <n v="2"/>
    <n v="2200"/>
    <n v="4400"/>
    <x v="1"/>
    <x v="1"/>
    <n v="4400"/>
    <s v="Low Sale"/>
  </r>
  <r>
    <x v="13"/>
    <s v="INV027"/>
    <s v="Watch"/>
    <x v="3"/>
    <n v="2"/>
    <n v="1800"/>
    <n v="3600"/>
    <x v="0"/>
    <x v="0"/>
    <n v="3600"/>
    <s v="Low Sale"/>
  </r>
  <r>
    <x v="13"/>
    <s v="INV028"/>
    <s v="Tablet"/>
    <x v="0"/>
    <n v="1"/>
    <n v="31000"/>
    <n v="31000"/>
    <x v="2"/>
    <x v="2"/>
    <n v="31000"/>
    <s v="High Sale"/>
  </r>
  <r>
    <x v="14"/>
    <s v="INV029"/>
    <s v="T-shirt"/>
    <x v="1"/>
    <n v="3"/>
    <n v="600"/>
    <n v="1800"/>
    <x v="1"/>
    <x v="1"/>
    <n v="1800"/>
    <s v="Low Sale"/>
  </r>
  <r>
    <x v="14"/>
    <s v="INV030"/>
    <s v="Headphones"/>
    <x v="0"/>
    <n v="2"/>
    <n v="3200"/>
    <n v="6400"/>
    <x v="0"/>
    <x v="0"/>
    <n v="6400"/>
    <s v="Low Sale"/>
  </r>
  <r>
    <x v="15"/>
    <s v="INV031"/>
    <s v="Laptop"/>
    <x v="0"/>
    <n v="1"/>
    <n v="53000"/>
    <n v="53000"/>
    <x v="2"/>
    <x v="2"/>
    <n v="53000"/>
    <s v="High Sale"/>
  </r>
  <r>
    <x v="15"/>
    <s v="INV032"/>
    <s v="Sandals"/>
    <x v="2"/>
    <n v="2"/>
    <n v="1100"/>
    <n v="2200"/>
    <x v="1"/>
    <x v="1"/>
    <n v="2200"/>
    <s v="Low Sale"/>
  </r>
  <r>
    <x v="16"/>
    <s v="INV033"/>
    <s v="Mobile"/>
    <x v="0"/>
    <n v="1"/>
    <n v="19000"/>
    <n v="19000"/>
    <x v="0"/>
    <x v="0"/>
    <n v="19000"/>
    <s v="Low Sale"/>
  </r>
  <r>
    <x v="16"/>
    <s v="INV034"/>
    <s v="Shirt"/>
    <x v="1"/>
    <n v="2"/>
    <n v="950"/>
    <n v="1900"/>
    <x v="2"/>
    <x v="2"/>
    <n v="1900"/>
    <s v="Low Sale"/>
  </r>
  <r>
    <x v="17"/>
    <s v="INV035"/>
    <s v="TV"/>
    <x v="0"/>
    <n v="1"/>
    <n v="41000"/>
    <n v="41000"/>
    <x v="1"/>
    <x v="1"/>
    <n v="41000"/>
    <s v="High Sale"/>
  </r>
  <r>
    <x v="17"/>
    <s v="INV036"/>
    <s v="Shoes"/>
    <x v="2"/>
    <n v="1"/>
    <n v="2400"/>
    <n v="2400"/>
    <x v="0"/>
    <x v="0"/>
    <n v="2400"/>
    <s v="Low Sale"/>
  </r>
  <r>
    <x v="18"/>
    <s v="INV037"/>
    <s v="Watch"/>
    <x v="3"/>
    <n v="3"/>
    <n v="1700"/>
    <n v="5100"/>
    <x v="2"/>
    <x v="2"/>
    <n v="5100"/>
    <s v="Low Sale"/>
  </r>
  <r>
    <x v="18"/>
    <s v="INV038"/>
    <s v="Tablet"/>
    <x v="0"/>
    <n v="1"/>
    <n v="29000"/>
    <n v="29000"/>
    <x v="1"/>
    <x v="1"/>
    <n v="29000"/>
    <s v="High Sale"/>
  </r>
  <r>
    <x v="19"/>
    <s v="INV039"/>
    <s v="T-shirt"/>
    <x v="1"/>
    <n v="4"/>
    <n v="450"/>
    <n v="1800"/>
    <x v="0"/>
    <x v="0"/>
    <n v="1800"/>
    <s v="Low Sale"/>
  </r>
  <r>
    <x v="19"/>
    <s v="INV040"/>
    <s v="Headphones"/>
    <x v="0"/>
    <n v="1"/>
    <n v="3300"/>
    <n v="3300"/>
    <x v="2"/>
    <x v="2"/>
    <n v="3300"/>
    <s v="Low Sale"/>
  </r>
  <r>
    <x v="20"/>
    <s v="INV041"/>
    <s v="Laptop"/>
    <x v="0"/>
    <n v="1"/>
    <n v="54000"/>
    <n v="54000"/>
    <x v="1"/>
    <x v="1"/>
    <n v="54000"/>
    <s v="High Sale"/>
  </r>
  <r>
    <x v="20"/>
    <s v="INV042"/>
    <s v="Sandals"/>
    <x v="2"/>
    <n v="2"/>
    <n v="1300"/>
    <n v="2600"/>
    <x v="0"/>
    <x v="0"/>
    <n v="2600"/>
    <s v="Low Sale"/>
  </r>
  <r>
    <x v="21"/>
    <s v="INV043"/>
    <s v="Mobile"/>
    <x v="0"/>
    <n v="1"/>
    <n v="22000"/>
    <n v="22000"/>
    <x v="2"/>
    <x v="2"/>
    <n v="22000"/>
    <s v="High Sale"/>
  </r>
  <r>
    <x v="21"/>
    <s v="INV044"/>
    <s v="Jeans"/>
    <x v="1"/>
    <n v="1"/>
    <n v="1700"/>
    <n v="1700"/>
    <x v="1"/>
    <x v="1"/>
    <n v="1700"/>
    <s v="Low Sale"/>
  </r>
  <r>
    <x v="22"/>
    <s v="INV045"/>
    <s v="TV"/>
    <x v="0"/>
    <n v="1"/>
    <n v="39000"/>
    <n v="39000"/>
    <x v="0"/>
    <x v="0"/>
    <n v="39000"/>
    <s v="High Sale"/>
  </r>
  <r>
    <x v="22"/>
    <s v="INV046"/>
    <s v="Shoes"/>
    <x v="2"/>
    <n v="2"/>
    <n v="2300"/>
    <n v="4600"/>
    <x v="2"/>
    <x v="2"/>
    <n v="4600"/>
    <s v="Low Sale"/>
  </r>
  <r>
    <x v="23"/>
    <s v="INV047"/>
    <s v="Watch"/>
    <x v="3"/>
    <n v="1"/>
    <n v="2100"/>
    <n v="2100"/>
    <x v="1"/>
    <x v="1"/>
    <n v="2100"/>
    <s v="Low Sale"/>
  </r>
  <r>
    <x v="23"/>
    <s v="INV048"/>
    <s v="Tablet"/>
    <x v="0"/>
    <n v="1"/>
    <n v="30000"/>
    <n v="30000"/>
    <x v="0"/>
    <x v="0"/>
    <n v="30000"/>
    <s v="High Sale"/>
  </r>
  <r>
    <x v="24"/>
    <s v="INV049"/>
    <s v="T-shirt"/>
    <x v="1"/>
    <n v="2"/>
    <n v="550"/>
    <n v="1100"/>
    <x v="2"/>
    <x v="2"/>
    <n v="1100"/>
    <s v="Low Sale"/>
  </r>
  <r>
    <x v="24"/>
    <s v="INV050"/>
    <s v="Headphones"/>
    <x v="0"/>
    <n v="1"/>
    <n v="3400"/>
    <n v="3400"/>
    <x v="1"/>
    <x v="1"/>
    <n v="3400"/>
    <s v="Low S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DB92D-9F74-4507-BAB5-DF12974E8AB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9" firstHeaderRow="1" firstDataRow="1" firstDataCol="1"/>
  <pivotFields count="11">
    <pivotField axis="axisRow" showAll="0">
      <items count="26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 Sales 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B900C-4082-4C1F-BE5D-81A522CD545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3:F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 " fld="9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E0D42-58E0-448B-9BF1-865A34A42F5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 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F1AFF-C7B7-4736-978A-73D947FBE51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" fld="9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540B-C6EB-4617-B5B5-77CCC0322E9F}">
  <dimension ref="A1:N52"/>
  <sheetViews>
    <sheetView tabSelected="1" topLeftCell="C2" workbookViewId="0">
      <selection activeCell="N14" sqref="N14"/>
    </sheetView>
  </sheetViews>
  <sheetFormatPr defaultRowHeight="14.4" x14ac:dyDescent="0.3"/>
  <cols>
    <col min="1" max="1" width="11.21875" customWidth="1"/>
    <col min="2" max="2" width="14.88671875" customWidth="1"/>
    <col min="3" max="3" width="10.77734375" customWidth="1"/>
    <col min="4" max="4" width="12.88671875" customWidth="1"/>
    <col min="5" max="5" width="14.109375" customWidth="1"/>
    <col min="6" max="6" width="14.44140625" customWidth="1"/>
    <col min="7" max="7" width="16.77734375" customWidth="1"/>
    <col min="8" max="8" width="18.21875" customWidth="1"/>
    <col min="9" max="9" width="13.6640625" customWidth="1"/>
    <col min="10" max="10" width="15.21875" customWidth="1"/>
    <col min="11" max="11" width="14" customWidth="1"/>
    <col min="13" max="13" width="13.6640625" customWidth="1"/>
    <col min="14" max="14" width="5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80</v>
      </c>
      <c r="K1" s="1" t="s">
        <v>94</v>
      </c>
    </row>
    <row r="2" spans="1:14" x14ac:dyDescent="0.3">
      <c r="A2" s="10">
        <v>46026</v>
      </c>
      <c r="B2" s="11" t="s">
        <v>9</v>
      </c>
      <c r="C2" s="11" t="s">
        <v>10</v>
      </c>
      <c r="D2" s="11" t="s">
        <v>11</v>
      </c>
      <c r="E2" s="11">
        <v>1</v>
      </c>
      <c r="F2" s="11">
        <v>50000</v>
      </c>
      <c r="G2" s="11">
        <v>50000</v>
      </c>
      <c r="H2" s="11" t="s">
        <v>12</v>
      </c>
      <c r="I2" s="11" t="s">
        <v>13</v>
      </c>
      <c r="J2" s="11">
        <f>E2*F2</f>
        <v>50000</v>
      </c>
      <c r="K2" s="11" t="str">
        <f>IF(G2&gt;20000,"High Sale","Low Sale")</f>
        <v>High Sale</v>
      </c>
    </row>
    <row r="3" spans="1:14" x14ac:dyDescent="0.3">
      <c r="A3" s="10">
        <v>46026</v>
      </c>
      <c r="B3" s="11" t="s">
        <v>14</v>
      </c>
      <c r="C3" s="11" t="s">
        <v>15</v>
      </c>
      <c r="D3" s="11" t="s">
        <v>16</v>
      </c>
      <c r="E3" s="11">
        <v>2</v>
      </c>
      <c r="F3" s="11">
        <v>1000</v>
      </c>
      <c r="G3" s="11">
        <v>2000</v>
      </c>
      <c r="H3" s="11" t="s">
        <v>17</v>
      </c>
      <c r="I3" s="11" t="s">
        <v>18</v>
      </c>
      <c r="J3" s="11">
        <f t="shared" ref="J3:J51" si="0">E3*F3</f>
        <v>2000</v>
      </c>
      <c r="K3" s="11" t="str">
        <f t="shared" ref="K3:K51" si="1">IF(G3&gt;20000,"High Sale","Low Sale")</f>
        <v>Low Sale</v>
      </c>
    </row>
    <row r="4" spans="1:14" x14ac:dyDescent="0.3">
      <c r="A4" s="10">
        <v>46057</v>
      </c>
      <c r="B4" s="11" t="s">
        <v>19</v>
      </c>
      <c r="C4" s="11" t="s">
        <v>20</v>
      </c>
      <c r="D4" s="11" t="s">
        <v>11</v>
      </c>
      <c r="E4" s="11">
        <v>1</v>
      </c>
      <c r="F4" s="11">
        <v>20000</v>
      </c>
      <c r="G4" s="11">
        <v>20000</v>
      </c>
      <c r="H4" s="11" t="s">
        <v>12</v>
      </c>
      <c r="I4" s="11" t="s">
        <v>21</v>
      </c>
      <c r="J4" s="11">
        <f t="shared" si="0"/>
        <v>20000</v>
      </c>
      <c r="K4" s="11" t="str">
        <f t="shared" si="1"/>
        <v>Low Sale</v>
      </c>
    </row>
    <row r="5" spans="1:14" x14ac:dyDescent="0.3">
      <c r="A5" s="10">
        <v>46057</v>
      </c>
      <c r="B5" s="11" t="s">
        <v>22</v>
      </c>
      <c r="C5" s="11" t="s">
        <v>23</v>
      </c>
      <c r="D5" s="11" t="s">
        <v>16</v>
      </c>
      <c r="E5" s="11">
        <v>1</v>
      </c>
      <c r="F5" s="11">
        <v>1500</v>
      </c>
      <c r="G5" s="11">
        <v>1500</v>
      </c>
      <c r="H5" s="11" t="s">
        <v>24</v>
      </c>
      <c r="I5" s="11" t="s">
        <v>13</v>
      </c>
      <c r="J5" s="11">
        <f t="shared" si="0"/>
        <v>1500</v>
      </c>
      <c r="K5" s="11" t="str">
        <f t="shared" si="1"/>
        <v>Low Sale</v>
      </c>
    </row>
    <row r="6" spans="1:14" x14ac:dyDescent="0.3">
      <c r="A6" s="10">
        <v>46085</v>
      </c>
      <c r="B6" s="11" t="s">
        <v>25</v>
      </c>
      <c r="C6" s="11" t="s">
        <v>26</v>
      </c>
      <c r="D6" s="11" t="s">
        <v>11</v>
      </c>
      <c r="E6" s="11">
        <v>1</v>
      </c>
      <c r="F6" s="11">
        <v>40000</v>
      </c>
      <c r="G6" s="11">
        <v>40000</v>
      </c>
      <c r="H6" s="11" t="s">
        <v>17</v>
      </c>
      <c r="I6" s="11" t="s">
        <v>18</v>
      </c>
      <c r="J6" s="11">
        <f t="shared" si="0"/>
        <v>40000</v>
      </c>
      <c r="K6" s="11" t="str">
        <f t="shared" si="1"/>
        <v>High Sale</v>
      </c>
    </row>
    <row r="7" spans="1:14" x14ac:dyDescent="0.3">
      <c r="A7" s="10">
        <v>46085</v>
      </c>
      <c r="B7" s="11" t="s">
        <v>27</v>
      </c>
      <c r="C7" s="11" t="s">
        <v>28</v>
      </c>
      <c r="D7" s="11" t="s">
        <v>29</v>
      </c>
      <c r="E7" s="11">
        <v>2</v>
      </c>
      <c r="F7" s="11">
        <v>2000</v>
      </c>
      <c r="G7" s="11">
        <v>4000</v>
      </c>
      <c r="H7" s="11" t="s">
        <v>12</v>
      </c>
      <c r="I7" s="11" t="s">
        <v>13</v>
      </c>
      <c r="J7" s="11">
        <f t="shared" si="0"/>
        <v>4000</v>
      </c>
      <c r="K7" s="11" t="str">
        <f t="shared" si="1"/>
        <v>Low Sale</v>
      </c>
    </row>
    <row r="8" spans="1:14" x14ac:dyDescent="0.3">
      <c r="A8" s="10">
        <v>46116</v>
      </c>
      <c r="B8" s="11" t="s">
        <v>30</v>
      </c>
      <c r="C8" s="11" t="s">
        <v>31</v>
      </c>
      <c r="D8" s="11" t="s">
        <v>32</v>
      </c>
      <c r="E8" s="11">
        <v>3</v>
      </c>
      <c r="F8" s="11">
        <v>1500</v>
      </c>
      <c r="G8" s="11">
        <v>4500</v>
      </c>
      <c r="H8" s="11" t="s">
        <v>24</v>
      </c>
      <c r="I8" s="11" t="s">
        <v>21</v>
      </c>
      <c r="J8" s="11">
        <f t="shared" si="0"/>
        <v>4500</v>
      </c>
      <c r="K8" s="11" t="str">
        <f t="shared" si="1"/>
        <v>Low Sale</v>
      </c>
    </row>
    <row r="9" spans="1:14" x14ac:dyDescent="0.3">
      <c r="A9" s="10">
        <v>46116</v>
      </c>
      <c r="B9" s="11" t="s">
        <v>33</v>
      </c>
      <c r="C9" s="11" t="s">
        <v>34</v>
      </c>
      <c r="D9" s="11" t="s">
        <v>11</v>
      </c>
      <c r="E9" s="11">
        <v>1</v>
      </c>
      <c r="F9" s="11">
        <v>30000</v>
      </c>
      <c r="G9" s="11">
        <v>30000</v>
      </c>
      <c r="H9" s="11" t="s">
        <v>17</v>
      </c>
      <c r="I9" s="11" t="s">
        <v>18</v>
      </c>
      <c r="J9" s="11">
        <f t="shared" si="0"/>
        <v>30000</v>
      </c>
      <c r="K9" s="11" t="str">
        <f t="shared" si="1"/>
        <v>High Sale</v>
      </c>
    </row>
    <row r="10" spans="1:14" x14ac:dyDescent="0.3">
      <c r="A10" s="10">
        <v>46146</v>
      </c>
      <c r="B10" s="11" t="s">
        <v>35</v>
      </c>
      <c r="C10" s="11" t="s">
        <v>36</v>
      </c>
      <c r="D10" s="11" t="s">
        <v>16</v>
      </c>
      <c r="E10" s="11">
        <v>4</v>
      </c>
      <c r="F10" s="11">
        <v>500</v>
      </c>
      <c r="G10" s="11">
        <v>2000</v>
      </c>
      <c r="H10" s="11" t="s">
        <v>12</v>
      </c>
      <c r="I10" s="11" t="s">
        <v>13</v>
      </c>
      <c r="J10" s="11">
        <f t="shared" si="0"/>
        <v>2000</v>
      </c>
      <c r="K10" s="11" t="str">
        <f t="shared" si="1"/>
        <v>Low Sale</v>
      </c>
    </row>
    <row r="11" spans="1:14" x14ac:dyDescent="0.3">
      <c r="A11" s="10">
        <v>46146</v>
      </c>
      <c r="B11" s="11" t="s">
        <v>37</v>
      </c>
      <c r="C11" s="11" t="s">
        <v>38</v>
      </c>
      <c r="D11" s="11" t="s">
        <v>11</v>
      </c>
      <c r="E11" s="11">
        <v>2</v>
      </c>
      <c r="F11" s="11">
        <v>3000</v>
      </c>
      <c r="G11" s="11">
        <v>6000</v>
      </c>
      <c r="H11" s="11" t="s">
        <v>24</v>
      </c>
      <c r="I11" s="11" t="s">
        <v>21</v>
      </c>
      <c r="J11" s="11">
        <f t="shared" si="0"/>
        <v>6000</v>
      </c>
      <c r="K11" s="11" t="str">
        <f t="shared" si="1"/>
        <v>Low Sale</v>
      </c>
    </row>
    <row r="12" spans="1:14" x14ac:dyDescent="0.3">
      <c r="A12" s="10">
        <v>46177</v>
      </c>
      <c r="B12" s="11" t="s">
        <v>39</v>
      </c>
      <c r="C12" s="11" t="s">
        <v>10</v>
      </c>
      <c r="D12" s="11" t="s">
        <v>11</v>
      </c>
      <c r="E12" s="11">
        <v>1</v>
      </c>
      <c r="F12" s="11">
        <v>55000</v>
      </c>
      <c r="G12" s="11">
        <v>55000</v>
      </c>
      <c r="H12" s="11" t="s">
        <v>17</v>
      </c>
      <c r="I12" s="11" t="s">
        <v>18</v>
      </c>
      <c r="J12" s="11">
        <f t="shared" si="0"/>
        <v>55000</v>
      </c>
      <c r="K12" s="11" t="str">
        <f t="shared" si="1"/>
        <v>High Sale</v>
      </c>
    </row>
    <row r="13" spans="1:14" x14ac:dyDescent="0.3">
      <c r="A13" s="10">
        <v>46177</v>
      </c>
      <c r="B13" s="11" t="s">
        <v>40</v>
      </c>
      <c r="C13" s="11" t="s">
        <v>41</v>
      </c>
      <c r="D13" s="11" t="s">
        <v>29</v>
      </c>
      <c r="E13" s="11">
        <v>2</v>
      </c>
      <c r="F13" s="11">
        <v>1200</v>
      </c>
      <c r="G13" s="11">
        <v>2400</v>
      </c>
      <c r="H13" s="11" t="s">
        <v>12</v>
      </c>
      <c r="I13" s="11" t="s">
        <v>13</v>
      </c>
      <c r="J13" s="11">
        <f t="shared" si="0"/>
        <v>2400</v>
      </c>
      <c r="K13" s="11" t="str">
        <f t="shared" si="1"/>
        <v>Low Sale</v>
      </c>
    </row>
    <row r="14" spans="1:14" x14ac:dyDescent="0.3">
      <c r="A14" s="10">
        <v>46207</v>
      </c>
      <c r="B14" s="11" t="s">
        <v>42</v>
      </c>
      <c r="C14" s="11" t="s">
        <v>20</v>
      </c>
      <c r="D14" s="11" t="s">
        <v>11</v>
      </c>
      <c r="E14" s="11">
        <v>1</v>
      </c>
      <c r="F14" s="11">
        <v>18000</v>
      </c>
      <c r="G14" s="11">
        <v>18000</v>
      </c>
      <c r="H14" s="11" t="s">
        <v>24</v>
      </c>
      <c r="I14" s="11" t="s">
        <v>21</v>
      </c>
      <c r="J14" s="11">
        <f t="shared" si="0"/>
        <v>18000</v>
      </c>
      <c r="K14" s="11" t="str">
        <f t="shared" si="1"/>
        <v>Low Sale</v>
      </c>
      <c r="N14" s="12" t="s">
        <v>106</v>
      </c>
    </row>
    <row r="15" spans="1:14" x14ac:dyDescent="0.3">
      <c r="A15" s="10">
        <v>46207</v>
      </c>
      <c r="B15" s="11" t="s">
        <v>43</v>
      </c>
      <c r="C15" s="11" t="s">
        <v>15</v>
      </c>
      <c r="D15" s="11" t="s">
        <v>16</v>
      </c>
      <c r="E15" s="11">
        <v>3</v>
      </c>
      <c r="F15" s="11">
        <v>900</v>
      </c>
      <c r="G15" s="11">
        <v>2700</v>
      </c>
      <c r="H15" s="11" t="s">
        <v>17</v>
      </c>
      <c r="I15" s="11" t="s">
        <v>18</v>
      </c>
      <c r="J15" s="11">
        <f t="shared" si="0"/>
        <v>2700</v>
      </c>
      <c r="K15" s="11" t="str">
        <f t="shared" si="1"/>
        <v>Low Sale</v>
      </c>
    </row>
    <row r="16" spans="1:14" x14ac:dyDescent="0.3">
      <c r="A16" s="10">
        <v>46238</v>
      </c>
      <c r="B16" s="11" t="s">
        <v>44</v>
      </c>
      <c r="C16" s="11" t="s">
        <v>26</v>
      </c>
      <c r="D16" s="11" t="s">
        <v>11</v>
      </c>
      <c r="E16" s="11">
        <v>1</v>
      </c>
      <c r="F16" s="11">
        <v>38000</v>
      </c>
      <c r="G16" s="11">
        <v>38000</v>
      </c>
      <c r="H16" s="11" t="s">
        <v>12</v>
      </c>
      <c r="I16" s="11" t="s">
        <v>13</v>
      </c>
      <c r="J16" s="11">
        <f t="shared" si="0"/>
        <v>38000</v>
      </c>
      <c r="K16" s="11" t="str">
        <f t="shared" si="1"/>
        <v>High Sale</v>
      </c>
    </row>
    <row r="17" spans="1:11" x14ac:dyDescent="0.3">
      <c r="A17" s="10">
        <v>46238</v>
      </c>
      <c r="B17" s="11" t="s">
        <v>45</v>
      </c>
      <c r="C17" s="11" t="s">
        <v>28</v>
      </c>
      <c r="D17" s="11" t="s">
        <v>29</v>
      </c>
      <c r="E17" s="11">
        <v>2</v>
      </c>
      <c r="F17" s="11">
        <v>2500</v>
      </c>
      <c r="G17" s="11">
        <v>5000</v>
      </c>
      <c r="H17" s="11" t="s">
        <v>24</v>
      </c>
      <c r="I17" s="11" t="s">
        <v>21</v>
      </c>
      <c r="J17" s="11">
        <f t="shared" si="0"/>
        <v>5000</v>
      </c>
      <c r="K17" s="11" t="str">
        <f t="shared" si="1"/>
        <v>Low Sale</v>
      </c>
    </row>
    <row r="18" spans="1:11" x14ac:dyDescent="0.3">
      <c r="A18" s="10">
        <v>46269</v>
      </c>
      <c r="B18" s="11" t="s">
        <v>46</v>
      </c>
      <c r="C18" s="11" t="s">
        <v>31</v>
      </c>
      <c r="D18" s="11" t="s">
        <v>32</v>
      </c>
      <c r="E18" s="11">
        <v>1</v>
      </c>
      <c r="F18" s="11">
        <v>2000</v>
      </c>
      <c r="G18" s="11">
        <v>2000</v>
      </c>
      <c r="H18" s="11" t="s">
        <v>17</v>
      </c>
      <c r="I18" s="11" t="s">
        <v>18</v>
      </c>
      <c r="J18" s="11">
        <f t="shared" si="0"/>
        <v>2000</v>
      </c>
      <c r="K18" s="11" t="str">
        <f t="shared" si="1"/>
        <v>Low Sale</v>
      </c>
    </row>
    <row r="19" spans="1:11" x14ac:dyDescent="0.3">
      <c r="A19" s="10">
        <v>46269</v>
      </c>
      <c r="B19" s="11" t="s">
        <v>47</v>
      </c>
      <c r="C19" s="11" t="s">
        <v>34</v>
      </c>
      <c r="D19" s="11" t="s">
        <v>11</v>
      </c>
      <c r="E19" s="11">
        <v>1</v>
      </c>
      <c r="F19" s="11">
        <v>28000</v>
      </c>
      <c r="G19" s="11">
        <v>28000</v>
      </c>
      <c r="H19" s="11" t="s">
        <v>12</v>
      </c>
      <c r="I19" s="11" t="s">
        <v>13</v>
      </c>
      <c r="J19" s="11">
        <f t="shared" si="0"/>
        <v>28000</v>
      </c>
      <c r="K19" s="11" t="str">
        <f t="shared" si="1"/>
        <v>High Sale</v>
      </c>
    </row>
    <row r="20" spans="1:11" x14ac:dyDescent="0.3">
      <c r="A20" s="10">
        <v>46299</v>
      </c>
      <c r="B20" s="11" t="s">
        <v>48</v>
      </c>
      <c r="C20" s="11" t="s">
        <v>36</v>
      </c>
      <c r="D20" s="11" t="s">
        <v>16</v>
      </c>
      <c r="E20" s="11">
        <v>5</v>
      </c>
      <c r="F20" s="11">
        <v>400</v>
      </c>
      <c r="G20" s="11">
        <v>2000</v>
      </c>
      <c r="H20" s="11" t="s">
        <v>24</v>
      </c>
      <c r="I20" s="11" t="s">
        <v>21</v>
      </c>
      <c r="J20" s="11">
        <f t="shared" si="0"/>
        <v>2000</v>
      </c>
      <c r="K20" s="11" t="str">
        <f t="shared" si="1"/>
        <v>Low Sale</v>
      </c>
    </row>
    <row r="21" spans="1:11" x14ac:dyDescent="0.3">
      <c r="A21" s="10">
        <v>46299</v>
      </c>
      <c r="B21" s="11" t="s">
        <v>49</v>
      </c>
      <c r="C21" s="11" t="s">
        <v>38</v>
      </c>
      <c r="D21" s="11" t="s">
        <v>11</v>
      </c>
      <c r="E21" s="11">
        <v>1</v>
      </c>
      <c r="F21" s="11">
        <v>3500</v>
      </c>
      <c r="G21" s="11">
        <v>3500</v>
      </c>
      <c r="H21" s="11" t="s">
        <v>17</v>
      </c>
      <c r="I21" s="11" t="s">
        <v>18</v>
      </c>
      <c r="J21" s="11">
        <f t="shared" si="0"/>
        <v>3500</v>
      </c>
      <c r="K21" s="11" t="str">
        <f t="shared" si="1"/>
        <v>Low Sale</v>
      </c>
    </row>
    <row r="22" spans="1:11" x14ac:dyDescent="0.3">
      <c r="A22" s="10">
        <v>46330</v>
      </c>
      <c r="B22" s="11" t="s">
        <v>50</v>
      </c>
      <c r="C22" s="11" t="s">
        <v>10</v>
      </c>
      <c r="D22" s="11" t="s">
        <v>11</v>
      </c>
      <c r="E22" s="11">
        <v>1</v>
      </c>
      <c r="F22" s="11">
        <v>52000</v>
      </c>
      <c r="G22" s="11">
        <v>52000</v>
      </c>
      <c r="H22" s="11" t="s">
        <v>12</v>
      </c>
      <c r="I22" s="11" t="s">
        <v>13</v>
      </c>
      <c r="J22" s="11">
        <f t="shared" si="0"/>
        <v>52000</v>
      </c>
      <c r="K22" s="11" t="str">
        <f t="shared" si="1"/>
        <v>High Sale</v>
      </c>
    </row>
    <row r="23" spans="1:11" x14ac:dyDescent="0.3">
      <c r="A23" s="10">
        <v>46330</v>
      </c>
      <c r="B23" s="11" t="s">
        <v>51</v>
      </c>
      <c r="C23" s="11" t="s">
        <v>41</v>
      </c>
      <c r="D23" s="11" t="s">
        <v>29</v>
      </c>
      <c r="E23" s="11">
        <v>3</v>
      </c>
      <c r="F23" s="11">
        <v>1000</v>
      </c>
      <c r="G23" s="11">
        <v>3000</v>
      </c>
      <c r="H23" s="11" t="s">
        <v>24</v>
      </c>
      <c r="I23" s="11" t="s">
        <v>21</v>
      </c>
      <c r="J23" s="11">
        <f t="shared" si="0"/>
        <v>3000</v>
      </c>
      <c r="K23" s="11" t="str">
        <f t="shared" si="1"/>
        <v>Low Sale</v>
      </c>
    </row>
    <row r="24" spans="1:11" x14ac:dyDescent="0.3">
      <c r="A24" s="10">
        <v>46360</v>
      </c>
      <c r="B24" s="11" t="s">
        <v>52</v>
      </c>
      <c r="C24" s="11" t="s">
        <v>20</v>
      </c>
      <c r="D24" s="11" t="s">
        <v>11</v>
      </c>
      <c r="E24" s="11">
        <v>1</v>
      </c>
      <c r="F24" s="11">
        <v>21000</v>
      </c>
      <c r="G24" s="11">
        <v>21000</v>
      </c>
      <c r="H24" s="11" t="s">
        <v>17</v>
      </c>
      <c r="I24" s="11" t="s">
        <v>18</v>
      </c>
      <c r="J24" s="11">
        <f t="shared" si="0"/>
        <v>21000</v>
      </c>
      <c r="K24" s="11" t="str">
        <f t="shared" si="1"/>
        <v>High Sale</v>
      </c>
    </row>
    <row r="25" spans="1:11" x14ac:dyDescent="0.3">
      <c r="A25" s="10">
        <v>46360</v>
      </c>
      <c r="B25" s="11" t="s">
        <v>53</v>
      </c>
      <c r="C25" s="11" t="s">
        <v>23</v>
      </c>
      <c r="D25" s="11" t="s">
        <v>16</v>
      </c>
      <c r="E25" s="11">
        <v>2</v>
      </c>
      <c r="F25" s="11">
        <v>1600</v>
      </c>
      <c r="G25" s="11">
        <v>3200</v>
      </c>
      <c r="H25" s="11" t="s">
        <v>12</v>
      </c>
      <c r="I25" s="11" t="s">
        <v>13</v>
      </c>
      <c r="J25" s="11">
        <f t="shared" si="0"/>
        <v>3200</v>
      </c>
      <c r="K25" s="11" t="str">
        <f t="shared" si="1"/>
        <v>Low Sale</v>
      </c>
    </row>
    <row r="26" spans="1:11" x14ac:dyDescent="0.3">
      <c r="A26" s="10" t="s">
        <v>81</v>
      </c>
      <c r="B26" s="11" t="s">
        <v>54</v>
      </c>
      <c r="C26" s="11" t="s">
        <v>26</v>
      </c>
      <c r="D26" s="11" t="s">
        <v>11</v>
      </c>
      <c r="E26" s="11">
        <v>1</v>
      </c>
      <c r="F26" s="11">
        <v>42000</v>
      </c>
      <c r="G26" s="11">
        <v>42000</v>
      </c>
      <c r="H26" s="11" t="s">
        <v>24</v>
      </c>
      <c r="I26" s="11" t="s">
        <v>21</v>
      </c>
      <c r="J26" s="11">
        <f t="shared" si="0"/>
        <v>42000</v>
      </c>
      <c r="K26" s="11" t="str">
        <f t="shared" si="1"/>
        <v>High Sale</v>
      </c>
    </row>
    <row r="27" spans="1:11" x14ac:dyDescent="0.3">
      <c r="A27" s="10" t="s">
        <v>81</v>
      </c>
      <c r="B27" s="11" t="s">
        <v>55</v>
      </c>
      <c r="C27" s="11" t="s">
        <v>28</v>
      </c>
      <c r="D27" s="11" t="s">
        <v>29</v>
      </c>
      <c r="E27" s="11">
        <v>2</v>
      </c>
      <c r="F27" s="11">
        <v>2200</v>
      </c>
      <c r="G27" s="11">
        <v>4400</v>
      </c>
      <c r="H27" s="11" t="s">
        <v>17</v>
      </c>
      <c r="I27" s="11" t="s">
        <v>18</v>
      </c>
      <c r="J27" s="11">
        <f t="shared" si="0"/>
        <v>4400</v>
      </c>
      <c r="K27" s="11" t="str">
        <f t="shared" si="1"/>
        <v>Low Sale</v>
      </c>
    </row>
    <row r="28" spans="1:11" x14ac:dyDescent="0.3">
      <c r="A28" s="10" t="s">
        <v>82</v>
      </c>
      <c r="B28" s="11" t="s">
        <v>56</v>
      </c>
      <c r="C28" s="11" t="s">
        <v>31</v>
      </c>
      <c r="D28" s="11" t="s">
        <v>32</v>
      </c>
      <c r="E28" s="11">
        <v>2</v>
      </c>
      <c r="F28" s="11">
        <v>1800</v>
      </c>
      <c r="G28" s="11">
        <v>3600</v>
      </c>
      <c r="H28" s="11" t="s">
        <v>12</v>
      </c>
      <c r="I28" s="11" t="s">
        <v>13</v>
      </c>
      <c r="J28" s="11">
        <f t="shared" si="0"/>
        <v>3600</v>
      </c>
      <c r="K28" s="11" t="str">
        <f t="shared" si="1"/>
        <v>Low Sale</v>
      </c>
    </row>
    <row r="29" spans="1:11" x14ac:dyDescent="0.3">
      <c r="A29" s="10" t="s">
        <v>82</v>
      </c>
      <c r="B29" s="11" t="s">
        <v>57</v>
      </c>
      <c r="C29" s="11" t="s">
        <v>34</v>
      </c>
      <c r="D29" s="11" t="s">
        <v>11</v>
      </c>
      <c r="E29" s="11">
        <v>1</v>
      </c>
      <c r="F29" s="11">
        <v>31000</v>
      </c>
      <c r="G29" s="11">
        <v>31000</v>
      </c>
      <c r="H29" s="11" t="s">
        <v>24</v>
      </c>
      <c r="I29" s="11" t="s">
        <v>21</v>
      </c>
      <c r="J29" s="11">
        <f t="shared" si="0"/>
        <v>31000</v>
      </c>
      <c r="K29" s="11" t="str">
        <f t="shared" si="1"/>
        <v>High Sale</v>
      </c>
    </row>
    <row r="30" spans="1:11" x14ac:dyDescent="0.3">
      <c r="A30" s="10" t="s">
        <v>83</v>
      </c>
      <c r="B30" s="11" t="s">
        <v>58</v>
      </c>
      <c r="C30" s="11" t="s">
        <v>36</v>
      </c>
      <c r="D30" s="11" t="s">
        <v>16</v>
      </c>
      <c r="E30" s="11">
        <v>3</v>
      </c>
      <c r="F30" s="11">
        <v>600</v>
      </c>
      <c r="G30" s="11">
        <v>1800</v>
      </c>
      <c r="H30" s="11" t="s">
        <v>17</v>
      </c>
      <c r="I30" s="11" t="s">
        <v>18</v>
      </c>
      <c r="J30" s="11">
        <f t="shared" si="0"/>
        <v>1800</v>
      </c>
      <c r="K30" s="11" t="str">
        <f t="shared" si="1"/>
        <v>Low Sale</v>
      </c>
    </row>
    <row r="31" spans="1:11" x14ac:dyDescent="0.3">
      <c r="A31" s="10" t="s">
        <v>83</v>
      </c>
      <c r="B31" s="11" t="s">
        <v>59</v>
      </c>
      <c r="C31" s="11" t="s">
        <v>38</v>
      </c>
      <c r="D31" s="11" t="s">
        <v>11</v>
      </c>
      <c r="E31" s="11">
        <v>2</v>
      </c>
      <c r="F31" s="11">
        <v>3200</v>
      </c>
      <c r="G31" s="11">
        <v>6400</v>
      </c>
      <c r="H31" s="11" t="s">
        <v>12</v>
      </c>
      <c r="I31" s="11" t="s">
        <v>13</v>
      </c>
      <c r="J31" s="11">
        <f t="shared" si="0"/>
        <v>6400</v>
      </c>
      <c r="K31" s="11" t="str">
        <f t="shared" si="1"/>
        <v>Low Sale</v>
      </c>
    </row>
    <row r="32" spans="1:11" x14ac:dyDescent="0.3">
      <c r="A32" s="10" t="s">
        <v>84</v>
      </c>
      <c r="B32" s="11" t="s">
        <v>60</v>
      </c>
      <c r="C32" s="11" t="s">
        <v>10</v>
      </c>
      <c r="D32" s="11" t="s">
        <v>11</v>
      </c>
      <c r="E32" s="11">
        <v>1</v>
      </c>
      <c r="F32" s="11">
        <v>53000</v>
      </c>
      <c r="G32" s="11">
        <v>53000</v>
      </c>
      <c r="H32" s="11" t="s">
        <v>24</v>
      </c>
      <c r="I32" s="11" t="s">
        <v>21</v>
      </c>
      <c r="J32" s="11">
        <f t="shared" si="0"/>
        <v>53000</v>
      </c>
      <c r="K32" s="11" t="str">
        <f t="shared" si="1"/>
        <v>High Sale</v>
      </c>
    </row>
    <row r="33" spans="1:11" x14ac:dyDescent="0.3">
      <c r="A33" s="10" t="s">
        <v>84</v>
      </c>
      <c r="B33" s="11" t="s">
        <v>61</v>
      </c>
      <c r="C33" s="11" t="s">
        <v>41</v>
      </c>
      <c r="D33" s="11" t="s">
        <v>29</v>
      </c>
      <c r="E33" s="11">
        <v>2</v>
      </c>
      <c r="F33" s="11">
        <v>1100</v>
      </c>
      <c r="G33" s="11">
        <v>2200</v>
      </c>
      <c r="H33" s="11" t="s">
        <v>17</v>
      </c>
      <c r="I33" s="11" t="s">
        <v>18</v>
      </c>
      <c r="J33" s="11">
        <f t="shared" si="0"/>
        <v>2200</v>
      </c>
      <c r="K33" s="11" t="str">
        <f t="shared" si="1"/>
        <v>Low Sale</v>
      </c>
    </row>
    <row r="34" spans="1:11" x14ac:dyDescent="0.3">
      <c r="A34" s="10" t="s">
        <v>85</v>
      </c>
      <c r="B34" s="11" t="s">
        <v>62</v>
      </c>
      <c r="C34" s="11" t="s">
        <v>20</v>
      </c>
      <c r="D34" s="11" t="s">
        <v>11</v>
      </c>
      <c r="E34" s="11">
        <v>1</v>
      </c>
      <c r="F34" s="11">
        <v>19000</v>
      </c>
      <c r="G34" s="11">
        <v>19000</v>
      </c>
      <c r="H34" s="11" t="s">
        <v>12</v>
      </c>
      <c r="I34" s="11" t="s">
        <v>13</v>
      </c>
      <c r="J34" s="11">
        <f t="shared" si="0"/>
        <v>19000</v>
      </c>
      <c r="K34" s="11" t="str">
        <f t="shared" si="1"/>
        <v>Low Sale</v>
      </c>
    </row>
    <row r="35" spans="1:11" x14ac:dyDescent="0.3">
      <c r="A35" s="10" t="s">
        <v>85</v>
      </c>
      <c r="B35" s="11" t="s">
        <v>63</v>
      </c>
      <c r="C35" s="11" t="s">
        <v>15</v>
      </c>
      <c r="D35" s="11" t="s">
        <v>16</v>
      </c>
      <c r="E35" s="11">
        <v>2</v>
      </c>
      <c r="F35" s="11">
        <v>950</v>
      </c>
      <c r="G35" s="11">
        <v>1900</v>
      </c>
      <c r="H35" s="11" t="s">
        <v>24</v>
      </c>
      <c r="I35" s="11" t="s">
        <v>21</v>
      </c>
      <c r="J35" s="11">
        <f t="shared" si="0"/>
        <v>1900</v>
      </c>
      <c r="K35" s="11" t="str">
        <f t="shared" si="1"/>
        <v>Low Sale</v>
      </c>
    </row>
    <row r="36" spans="1:11" x14ac:dyDescent="0.3">
      <c r="A36" s="10" t="s">
        <v>86</v>
      </c>
      <c r="B36" s="11" t="s">
        <v>64</v>
      </c>
      <c r="C36" s="11" t="s">
        <v>26</v>
      </c>
      <c r="D36" s="11" t="s">
        <v>11</v>
      </c>
      <c r="E36" s="11">
        <v>1</v>
      </c>
      <c r="F36" s="11">
        <v>41000</v>
      </c>
      <c r="G36" s="11">
        <v>41000</v>
      </c>
      <c r="H36" s="11" t="s">
        <v>17</v>
      </c>
      <c r="I36" s="11" t="s">
        <v>18</v>
      </c>
      <c r="J36" s="11">
        <f t="shared" si="0"/>
        <v>41000</v>
      </c>
      <c r="K36" s="11" t="str">
        <f t="shared" si="1"/>
        <v>High Sale</v>
      </c>
    </row>
    <row r="37" spans="1:11" x14ac:dyDescent="0.3">
      <c r="A37" s="10" t="s">
        <v>86</v>
      </c>
      <c r="B37" s="11" t="s">
        <v>65</v>
      </c>
      <c r="C37" s="11" t="s">
        <v>28</v>
      </c>
      <c r="D37" s="11" t="s">
        <v>29</v>
      </c>
      <c r="E37" s="11">
        <v>1</v>
      </c>
      <c r="F37" s="11">
        <v>2400</v>
      </c>
      <c r="G37" s="11">
        <v>2400</v>
      </c>
      <c r="H37" s="11" t="s">
        <v>12</v>
      </c>
      <c r="I37" s="11" t="s">
        <v>13</v>
      </c>
      <c r="J37" s="11">
        <f t="shared" si="0"/>
        <v>2400</v>
      </c>
      <c r="K37" s="11" t="str">
        <f t="shared" si="1"/>
        <v>Low Sale</v>
      </c>
    </row>
    <row r="38" spans="1:11" x14ac:dyDescent="0.3">
      <c r="A38" s="10" t="s">
        <v>87</v>
      </c>
      <c r="B38" s="11" t="s">
        <v>66</v>
      </c>
      <c r="C38" s="11" t="s">
        <v>31</v>
      </c>
      <c r="D38" s="11" t="s">
        <v>32</v>
      </c>
      <c r="E38" s="11">
        <v>3</v>
      </c>
      <c r="F38" s="11">
        <v>1700</v>
      </c>
      <c r="G38" s="11">
        <v>5100</v>
      </c>
      <c r="H38" s="11" t="s">
        <v>24</v>
      </c>
      <c r="I38" s="11" t="s">
        <v>21</v>
      </c>
      <c r="J38" s="11">
        <f t="shared" si="0"/>
        <v>5100</v>
      </c>
      <c r="K38" s="11" t="str">
        <f t="shared" si="1"/>
        <v>Low Sale</v>
      </c>
    </row>
    <row r="39" spans="1:11" x14ac:dyDescent="0.3">
      <c r="A39" s="10" t="s">
        <v>87</v>
      </c>
      <c r="B39" s="11" t="s">
        <v>67</v>
      </c>
      <c r="C39" s="11" t="s">
        <v>34</v>
      </c>
      <c r="D39" s="11" t="s">
        <v>11</v>
      </c>
      <c r="E39" s="11">
        <v>1</v>
      </c>
      <c r="F39" s="11">
        <v>29000</v>
      </c>
      <c r="G39" s="11">
        <v>29000</v>
      </c>
      <c r="H39" s="11" t="s">
        <v>17</v>
      </c>
      <c r="I39" s="11" t="s">
        <v>18</v>
      </c>
      <c r="J39" s="11">
        <f t="shared" si="0"/>
        <v>29000</v>
      </c>
      <c r="K39" s="11" t="str">
        <f t="shared" si="1"/>
        <v>High Sale</v>
      </c>
    </row>
    <row r="40" spans="1:11" x14ac:dyDescent="0.3">
      <c r="A40" s="10" t="s">
        <v>88</v>
      </c>
      <c r="B40" s="11" t="s">
        <v>68</v>
      </c>
      <c r="C40" s="11" t="s">
        <v>36</v>
      </c>
      <c r="D40" s="11" t="s">
        <v>16</v>
      </c>
      <c r="E40" s="11">
        <v>4</v>
      </c>
      <c r="F40" s="11">
        <v>450</v>
      </c>
      <c r="G40" s="11">
        <v>1800</v>
      </c>
      <c r="H40" s="11" t="s">
        <v>12</v>
      </c>
      <c r="I40" s="11" t="s">
        <v>13</v>
      </c>
      <c r="J40" s="11">
        <f t="shared" si="0"/>
        <v>1800</v>
      </c>
      <c r="K40" s="11" t="str">
        <f t="shared" si="1"/>
        <v>Low Sale</v>
      </c>
    </row>
    <row r="41" spans="1:11" x14ac:dyDescent="0.3">
      <c r="A41" s="10" t="s">
        <v>88</v>
      </c>
      <c r="B41" s="11" t="s">
        <v>69</v>
      </c>
      <c r="C41" s="11" t="s">
        <v>38</v>
      </c>
      <c r="D41" s="11" t="s">
        <v>11</v>
      </c>
      <c r="E41" s="11">
        <v>1</v>
      </c>
      <c r="F41" s="11">
        <v>3300</v>
      </c>
      <c r="G41" s="11">
        <v>3300</v>
      </c>
      <c r="H41" s="11" t="s">
        <v>24</v>
      </c>
      <c r="I41" s="11" t="s">
        <v>21</v>
      </c>
      <c r="J41" s="11">
        <f t="shared" si="0"/>
        <v>3300</v>
      </c>
      <c r="K41" s="11" t="str">
        <f t="shared" si="1"/>
        <v>Low Sale</v>
      </c>
    </row>
    <row r="42" spans="1:11" x14ac:dyDescent="0.3">
      <c r="A42" s="10" t="s">
        <v>89</v>
      </c>
      <c r="B42" s="11" t="s">
        <v>70</v>
      </c>
      <c r="C42" s="11" t="s">
        <v>10</v>
      </c>
      <c r="D42" s="11" t="s">
        <v>11</v>
      </c>
      <c r="E42" s="11">
        <v>1</v>
      </c>
      <c r="F42" s="11">
        <v>54000</v>
      </c>
      <c r="G42" s="11">
        <v>54000</v>
      </c>
      <c r="H42" s="11" t="s">
        <v>17</v>
      </c>
      <c r="I42" s="11" t="s">
        <v>18</v>
      </c>
      <c r="J42" s="11">
        <f t="shared" si="0"/>
        <v>54000</v>
      </c>
      <c r="K42" s="11" t="str">
        <f t="shared" si="1"/>
        <v>High Sale</v>
      </c>
    </row>
    <row r="43" spans="1:11" x14ac:dyDescent="0.3">
      <c r="A43" s="10" t="s">
        <v>89</v>
      </c>
      <c r="B43" s="11" t="s">
        <v>71</v>
      </c>
      <c r="C43" s="11" t="s">
        <v>41</v>
      </c>
      <c r="D43" s="11" t="s">
        <v>29</v>
      </c>
      <c r="E43" s="11">
        <v>2</v>
      </c>
      <c r="F43" s="11">
        <v>1300</v>
      </c>
      <c r="G43" s="11">
        <v>2600</v>
      </c>
      <c r="H43" s="11" t="s">
        <v>12</v>
      </c>
      <c r="I43" s="11" t="s">
        <v>13</v>
      </c>
      <c r="J43" s="11">
        <f t="shared" si="0"/>
        <v>2600</v>
      </c>
      <c r="K43" s="11" t="str">
        <f t="shared" si="1"/>
        <v>Low Sale</v>
      </c>
    </row>
    <row r="44" spans="1:11" x14ac:dyDescent="0.3">
      <c r="A44" s="10" t="s">
        <v>90</v>
      </c>
      <c r="B44" s="11" t="s">
        <v>72</v>
      </c>
      <c r="C44" s="11" t="s">
        <v>20</v>
      </c>
      <c r="D44" s="11" t="s">
        <v>11</v>
      </c>
      <c r="E44" s="11">
        <v>1</v>
      </c>
      <c r="F44" s="11">
        <v>22000</v>
      </c>
      <c r="G44" s="11">
        <v>22000</v>
      </c>
      <c r="H44" s="11" t="s">
        <v>24</v>
      </c>
      <c r="I44" s="11" t="s">
        <v>21</v>
      </c>
      <c r="J44" s="11">
        <f t="shared" si="0"/>
        <v>22000</v>
      </c>
      <c r="K44" s="11" t="str">
        <f t="shared" si="1"/>
        <v>High Sale</v>
      </c>
    </row>
    <row r="45" spans="1:11" x14ac:dyDescent="0.3">
      <c r="A45" s="10" t="s">
        <v>90</v>
      </c>
      <c r="B45" s="11" t="s">
        <v>73</v>
      </c>
      <c r="C45" s="11" t="s">
        <v>23</v>
      </c>
      <c r="D45" s="11" t="s">
        <v>16</v>
      </c>
      <c r="E45" s="11">
        <v>1</v>
      </c>
      <c r="F45" s="11">
        <v>1700</v>
      </c>
      <c r="G45" s="11">
        <v>1700</v>
      </c>
      <c r="H45" s="11" t="s">
        <v>17</v>
      </c>
      <c r="I45" s="11" t="s">
        <v>18</v>
      </c>
      <c r="J45" s="11">
        <f t="shared" si="0"/>
        <v>1700</v>
      </c>
      <c r="K45" s="11" t="str">
        <f t="shared" si="1"/>
        <v>Low Sale</v>
      </c>
    </row>
    <row r="46" spans="1:11" x14ac:dyDescent="0.3">
      <c r="A46" s="10" t="s">
        <v>91</v>
      </c>
      <c r="B46" s="11" t="s">
        <v>74</v>
      </c>
      <c r="C46" s="11" t="s">
        <v>26</v>
      </c>
      <c r="D46" s="11" t="s">
        <v>11</v>
      </c>
      <c r="E46" s="11">
        <v>1</v>
      </c>
      <c r="F46" s="11">
        <v>39000</v>
      </c>
      <c r="G46" s="11">
        <v>39000</v>
      </c>
      <c r="H46" s="11" t="s">
        <v>12</v>
      </c>
      <c r="I46" s="11" t="s">
        <v>13</v>
      </c>
      <c r="J46" s="11">
        <f t="shared" si="0"/>
        <v>39000</v>
      </c>
      <c r="K46" s="11" t="str">
        <f t="shared" si="1"/>
        <v>High Sale</v>
      </c>
    </row>
    <row r="47" spans="1:11" x14ac:dyDescent="0.3">
      <c r="A47" s="10" t="s">
        <v>91</v>
      </c>
      <c r="B47" s="11" t="s">
        <v>75</v>
      </c>
      <c r="C47" s="11" t="s">
        <v>28</v>
      </c>
      <c r="D47" s="11" t="s">
        <v>29</v>
      </c>
      <c r="E47" s="11">
        <v>2</v>
      </c>
      <c r="F47" s="11">
        <v>2300</v>
      </c>
      <c r="G47" s="11">
        <v>4600</v>
      </c>
      <c r="H47" s="11" t="s">
        <v>24</v>
      </c>
      <c r="I47" s="11" t="s">
        <v>21</v>
      </c>
      <c r="J47" s="11">
        <f t="shared" si="0"/>
        <v>4600</v>
      </c>
      <c r="K47" s="11" t="str">
        <f t="shared" si="1"/>
        <v>Low Sale</v>
      </c>
    </row>
    <row r="48" spans="1:11" x14ac:dyDescent="0.3">
      <c r="A48" s="10" t="s">
        <v>92</v>
      </c>
      <c r="B48" s="11" t="s">
        <v>76</v>
      </c>
      <c r="C48" s="11" t="s">
        <v>31</v>
      </c>
      <c r="D48" s="11" t="s">
        <v>32</v>
      </c>
      <c r="E48" s="11">
        <v>1</v>
      </c>
      <c r="F48" s="11">
        <v>2100</v>
      </c>
      <c r="G48" s="11">
        <v>2100</v>
      </c>
      <c r="H48" s="11" t="s">
        <v>17</v>
      </c>
      <c r="I48" s="11" t="s">
        <v>18</v>
      </c>
      <c r="J48" s="11">
        <f t="shared" si="0"/>
        <v>2100</v>
      </c>
      <c r="K48" s="11" t="str">
        <f t="shared" si="1"/>
        <v>Low Sale</v>
      </c>
    </row>
    <row r="49" spans="1:11" x14ac:dyDescent="0.3">
      <c r="A49" s="10" t="s">
        <v>92</v>
      </c>
      <c r="B49" s="11" t="s">
        <v>77</v>
      </c>
      <c r="C49" s="11" t="s">
        <v>34</v>
      </c>
      <c r="D49" s="11" t="s">
        <v>11</v>
      </c>
      <c r="E49" s="11">
        <v>1</v>
      </c>
      <c r="F49" s="11">
        <v>30000</v>
      </c>
      <c r="G49" s="11">
        <v>30000</v>
      </c>
      <c r="H49" s="11" t="s">
        <v>12</v>
      </c>
      <c r="I49" s="11" t="s">
        <v>13</v>
      </c>
      <c r="J49" s="11">
        <f t="shared" si="0"/>
        <v>30000</v>
      </c>
      <c r="K49" s="11" t="str">
        <f t="shared" si="1"/>
        <v>High Sale</v>
      </c>
    </row>
    <row r="50" spans="1:11" x14ac:dyDescent="0.3">
      <c r="A50" s="10" t="s">
        <v>93</v>
      </c>
      <c r="B50" s="11" t="s">
        <v>78</v>
      </c>
      <c r="C50" s="11" t="s">
        <v>36</v>
      </c>
      <c r="D50" s="11" t="s">
        <v>16</v>
      </c>
      <c r="E50" s="11">
        <v>2</v>
      </c>
      <c r="F50" s="11">
        <v>550</v>
      </c>
      <c r="G50" s="11">
        <v>1100</v>
      </c>
      <c r="H50" s="11" t="s">
        <v>24</v>
      </c>
      <c r="I50" s="11" t="s">
        <v>21</v>
      </c>
      <c r="J50" s="11">
        <f t="shared" si="0"/>
        <v>1100</v>
      </c>
      <c r="K50" s="11" t="str">
        <f t="shared" si="1"/>
        <v>Low Sale</v>
      </c>
    </row>
    <row r="51" spans="1:11" x14ac:dyDescent="0.3">
      <c r="A51" s="10" t="s">
        <v>93</v>
      </c>
      <c r="B51" s="11" t="s">
        <v>79</v>
      </c>
      <c r="C51" s="11" t="s">
        <v>38</v>
      </c>
      <c r="D51" s="11" t="s">
        <v>11</v>
      </c>
      <c r="E51" s="11">
        <v>1</v>
      </c>
      <c r="F51" s="11">
        <v>3400</v>
      </c>
      <c r="G51" s="11">
        <v>3400</v>
      </c>
      <c r="H51" s="11" t="s">
        <v>17</v>
      </c>
      <c r="I51" s="11" t="s">
        <v>18</v>
      </c>
      <c r="J51" s="11">
        <f t="shared" si="0"/>
        <v>3400</v>
      </c>
      <c r="K51" s="11" t="str">
        <f t="shared" si="1"/>
        <v>Low Sale</v>
      </c>
    </row>
    <row r="52" spans="1:11" x14ac:dyDescent="0.3">
      <c r="A52" s="2"/>
      <c r="B52" s="2"/>
      <c r="C52" s="2"/>
      <c r="D52" s="2"/>
      <c r="E52" s="3">
        <f>SUM(E2:E51)</f>
        <v>84</v>
      </c>
      <c r="F52" s="3">
        <f>SUM(F2:F51)</f>
        <v>763650</v>
      </c>
      <c r="G52" s="3">
        <f>SUM(G2:G51)</f>
        <v>804200</v>
      </c>
      <c r="H52" s="2"/>
      <c r="I52" s="2"/>
      <c r="J52" s="3">
        <f>SUM(J2:J51)</f>
        <v>804200</v>
      </c>
      <c r="K5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F6A5-BEAE-492B-A32C-3C28A81A771E}">
  <dimension ref="A2:H29"/>
  <sheetViews>
    <sheetView workbookViewId="0">
      <selection activeCell="D14" sqref="D14"/>
    </sheetView>
  </sheetViews>
  <sheetFormatPr defaultRowHeight="14.4" x14ac:dyDescent="0.3"/>
  <cols>
    <col min="1" max="1" width="12.5546875" bestFit="1" customWidth="1"/>
    <col min="2" max="2" width="23.77734375" customWidth="1"/>
    <col min="3" max="3" width="12.5546875" bestFit="1" customWidth="1"/>
    <col min="4" max="4" width="28.6640625" customWidth="1"/>
    <col min="5" max="5" width="15.21875" customWidth="1"/>
    <col min="6" max="6" width="26.77734375" customWidth="1"/>
    <col min="7" max="7" width="12.5546875" bestFit="1" customWidth="1"/>
    <col min="8" max="8" width="16.88671875" bestFit="1" customWidth="1"/>
  </cols>
  <sheetData>
    <row r="2" spans="1:8" x14ac:dyDescent="0.3">
      <c r="A2" s="6"/>
      <c r="B2" s="3" t="s">
        <v>98</v>
      </c>
      <c r="C2" s="6"/>
      <c r="D2" s="7" t="s">
        <v>100</v>
      </c>
      <c r="E2" s="6"/>
      <c r="F2" s="7" t="s">
        <v>99</v>
      </c>
      <c r="G2" s="6"/>
      <c r="H2" s="7" t="s">
        <v>101</v>
      </c>
    </row>
    <row r="3" spans="1:8" x14ac:dyDescent="0.3">
      <c r="A3" s="4" t="s">
        <v>95</v>
      </c>
      <c r="B3" t="s">
        <v>97</v>
      </c>
      <c r="C3" s="4" t="s">
        <v>95</v>
      </c>
      <c r="D3" t="s">
        <v>97</v>
      </c>
      <c r="E3" s="4" t="s">
        <v>95</v>
      </c>
      <c r="F3" t="s">
        <v>97</v>
      </c>
      <c r="G3" s="4" t="s">
        <v>95</v>
      </c>
      <c r="H3" t="s">
        <v>97</v>
      </c>
    </row>
    <row r="4" spans="1:8" x14ac:dyDescent="0.3">
      <c r="A4" s="5" t="s">
        <v>32</v>
      </c>
      <c r="B4">
        <v>17300</v>
      </c>
      <c r="C4" s="5" t="s">
        <v>12</v>
      </c>
      <c r="D4">
        <v>304400</v>
      </c>
      <c r="E4" s="5" t="s">
        <v>21</v>
      </c>
      <c r="F4">
        <v>222500</v>
      </c>
      <c r="G4" s="5" t="s">
        <v>81</v>
      </c>
      <c r="H4">
        <v>46400</v>
      </c>
    </row>
    <row r="5" spans="1:8" x14ac:dyDescent="0.3">
      <c r="A5" s="5" t="s">
        <v>16</v>
      </c>
      <c r="B5">
        <v>21700</v>
      </c>
      <c r="C5" s="5" t="s">
        <v>17</v>
      </c>
      <c r="D5">
        <v>295800</v>
      </c>
      <c r="E5" s="5" t="s">
        <v>18</v>
      </c>
      <c r="F5">
        <v>295800</v>
      </c>
      <c r="G5" s="5" t="s">
        <v>82</v>
      </c>
      <c r="H5">
        <v>34600</v>
      </c>
    </row>
    <row r="6" spans="1:8" x14ac:dyDescent="0.3">
      <c r="A6" s="5" t="s">
        <v>11</v>
      </c>
      <c r="B6">
        <v>734600</v>
      </c>
      <c r="C6" s="5" t="s">
        <v>24</v>
      </c>
      <c r="D6">
        <v>204000</v>
      </c>
      <c r="E6" s="5" t="s">
        <v>13</v>
      </c>
      <c r="F6">
        <v>285900</v>
      </c>
      <c r="G6" s="5" t="s">
        <v>83</v>
      </c>
      <c r="H6">
        <v>8200</v>
      </c>
    </row>
    <row r="7" spans="1:8" x14ac:dyDescent="0.3">
      <c r="A7" s="5" t="s">
        <v>29</v>
      </c>
      <c r="B7">
        <v>30600</v>
      </c>
      <c r="C7" s="5" t="s">
        <v>96</v>
      </c>
      <c r="D7">
        <v>804200</v>
      </c>
      <c r="E7" s="5" t="s">
        <v>96</v>
      </c>
      <c r="F7">
        <v>804200</v>
      </c>
      <c r="G7" s="5" t="s">
        <v>84</v>
      </c>
      <c r="H7">
        <v>55200</v>
      </c>
    </row>
    <row r="8" spans="1:8" x14ac:dyDescent="0.3">
      <c r="A8" s="5" t="s">
        <v>96</v>
      </c>
      <c r="B8">
        <v>804200</v>
      </c>
      <c r="G8" s="5" t="s">
        <v>85</v>
      </c>
      <c r="H8">
        <v>20900</v>
      </c>
    </row>
    <row r="9" spans="1:8" x14ac:dyDescent="0.3">
      <c r="G9" s="5" t="s">
        <v>86</v>
      </c>
      <c r="H9">
        <v>43400</v>
      </c>
    </row>
    <row r="10" spans="1:8" x14ac:dyDescent="0.3">
      <c r="G10" s="5" t="s">
        <v>87</v>
      </c>
      <c r="H10">
        <v>34100</v>
      </c>
    </row>
    <row r="11" spans="1:8" x14ac:dyDescent="0.3">
      <c r="G11" s="5" t="s">
        <v>88</v>
      </c>
      <c r="H11">
        <v>5100</v>
      </c>
    </row>
    <row r="12" spans="1:8" x14ac:dyDescent="0.3">
      <c r="G12" s="5" t="s">
        <v>89</v>
      </c>
      <c r="H12">
        <v>56600</v>
      </c>
    </row>
    <row r="13" spans="1:8" x14ac:dyDescent="0.3">
      <c r="G13" s="5" t="s">
        <v>90</v>
      </c>
      <c r="H13">
        <v>23700</v>
      </c>
    </row>
    <row r="14" spans="1:8" x14ac:dyDescent="0.3">
      <c r="G14" s="5" t="s">
        <v>91</v>
      </c>
      <c r="H14">
        <v>43600</v>
      </c>
    </row>
    <row r="15" spans="1:8" x14ac:dyDescent="0.3">
      <c r="G15" s="5" t="s">
        <v>92</v>
      </c>
      <c r="H15">
        <v>32100</v>
      </c>
    </row>
    <row r="16" spans="1:8" x14ac:dyDescent="0.3">
      <c r="G16" s="5" t="s">
        <v>93</v>
      </c>
      <c r="H16">
        <v>4500</v>
      </c>
    </row>
    <row r="17" spans="7:8" x14ac:dyDescent="0.3">
      <c r="G17" s="8">
        <v>46026</v>
      </c>
      <c r="H17">
        <v>52000</v>
      </c>
    </row>
    <row r="18" spans="7:8" x14ac:dyDescent="0.3">
      <c r="G18" s="8">
        <v>46057</v>
      </c>
      <c r="H18">
        <v>21500</v>
      </c>
    </row>
    <row r="19" spans="7:8" x14ac:dyDescent="0.3">
      <c r="G19" s="8">
        <v>46085</v>
      </c>
      <c r="H19">
        <v>44000</v>
      </c>
    </row>
    <row r="20" spans="7:8" x14ac:dyDescent="0.3">
      <c r="G20" s="8">
        <v>46116</v>
      </c>
      <c r="H20">
        <v>34500</v>
      </c>
    </row>
    <row r="21" spans="7:8" x14ac:dyDescent="0.3">
      <c r="G21" s="8">
        <v>46146</v>
      </c>
      <c r="H21">
        <v>8000</v>
      </c>
    </row>
    <row r="22" spans="7:8" x14ac:dyDescent="0.3">
      <c r="G22" s="8">
        <v>46177</v>
      </c>
      <c r="H22">
        <v>57400</v>
      </c>
    </row>
    <row r="23" spans="7:8" x14ac:dyDescent="0.3">
      <c r="G23" s="8">
        <v>46207</v>
      </c>
      <c r="H23">
        <v>20700</v>
      </c>
    </row>
    <row r="24" spans="7:8" x14ac:dyDescent="0.3">
      <c r="G24" s="8">
        <v>46238</v>
      </c>
      <c r="H24">
        <v>43000</v>
      </c>
    </row>
    <row r="25" spans="7:8" x14ac:dyDescent="0.3">
      <c r="G25" s="8">
        <v>46269</v>
      </c>
      <c r="H25">
        <v>30000</v>
      </c>
    </row>
    <row r="26" spans="7:8" x14ac:dyDescent="0.3">
      <c r="G26" s="8">
        <v>46299</v>
      </c>
      <c r="H26">
        <v>5500</v>
      </c>
    </row>
    <row r="27" spans="7:8" x14ac:dyDescent="0.3">
      <c r="G27" s="8">
        <v>46330</v>
      </c>
      <c r="H27">
        <v>55000</v>
      </c>
    </row>
    <row r="28" spans="7:8" x14ac:dyDescent="0.3">
      <c r="G28" s="8">
        <v>46360</v>
      </c>
      <c r="H28">
        <v>24200</v>
      </c>
    </row>
    <row r="29" spans="7:8" x14ac:dyDescent="0.3">
      <c r="G29" s="5" t="s">
        <v>96</v>
      </c>
      <c r="H29">
        <v>804200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E94A-3319-4E4F-AD26-29AFA8B49861}">
  <dimension ref="B2:O6"/>
  <sheetViews>
    <sheetView workbookViewId="0">
      <selection activeCell="D2" sqref="D2:E2"/>
    </sheetView>
  </sheetViews>
  <sheetFormatPr defaultRowHeight="14.4" x14ac:dyDescent="0.3"/>
  <cols>
    <col min="4" max="4" width="21.21875" customWidth="1"/>
    <col min="11" max="11" width="11.77734375" customWidth="1"/>
  </cols>
  <sheetData>
    <row r="2" spans="2:15" x14ac:dyDescent="0.3">
      <c r="D2" s="3" t="s">
        <v>103</v>
      </c>
      <c r="E2" s="2"/>
    </row>
    <row r="3" spans="2:15" x14ac:dyDescent="0.3">
      <c r="D3" s="9" t="s">
        <v>80</v>
      </c>
      <c r="E3" s="9">
        <f>SUM('RAW DATA'!G2:G51)</f>
        <v>804200</v>
      </c>
    </row>
    <row r="4" spans="2:15" x14ac:dyDescent="0.3">
      <c r="D4" s="9" t="s">
        <v>102</v>
      </c>
      <c r="E4" s="9">
        <f>COUNTA('RAW DATA'!A2:A51)</f>
        <v>50</v>
      </c>
    </row>
    <row r="6" spans="2:15" x14ac:dyDescent="0.3">
      <c r="B6" s="2"/>
      <c r="C6" s="2"/>
      <c r="D6" s="3" t="s">
        <v>104</v>
      </c>
      <c r="E6" s="2"/>
      <c r="F6" s="2"/>
      <c r="G6" s="2"/>
      <c r="H6" s="2"/>
      <c r="I6" s="2"/>
      <c r="J6" s="2"/>
      <c r="K6" s="3" t="s">
        <v>105</v>
      </c>
      <c r="L6" s="2"/>
      <c r="M6" s="2"/>
      <c r="N6" s="2"/>
      <c r="O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TABLE</vt:lpstr>
      <vt:lpstr>MIS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2026-04-16T15:39:35Z</dcterms:created>
  <dcterms:modified xsi:type="dcterms:W3CDTF">2026-04-17T02:53:25Z</dcterms:modified>
</cp:coreProperties>
</file>