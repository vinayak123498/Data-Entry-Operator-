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8_{092374A7-8B4B-4F7F-A2F7-A31A627114FD}" xr6:coauthVersionLast="47" xr6:coauthVersionMax="47" xr10:uidLastSave="{00000000-0000-0000-0000-000000000000}"/>
  <bookViews>
    <workbookView xWindow="-108" yWindow="-108" windowWidth="23256" windowHeight="12456" xr2:uid="{F83AD9C2-C864-468F-A206-ED4CFE085E92}"/>
  </bookViews>
  <sheets>
    <sheet name="Employee Data" sheetId="1" r:id="rId1"/>
    <sheet name="Salary Master  " sheetId="2" r:id="rId2"/>
    <sheet name="MIS Report" sheetId="3" r:id="rId3"/>
  </sheets>
  <calcPr calcId="191029"/>
  <pivotCaches>
    <pivotCache cacheId="3" r:id="rId4"/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2" i="3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F6" i="1"/>
  <c r="F4" i="1"/>
  <c r="F3" i="1"/>
  <c r="F2" i="1"/>
  <c r="E51" i="1"/>
  <c r="E50" i="1"/>
  <c r="E48" i="1"/>
  <c r="E49" i="1"/>
  <c r="E47" i="1"/>
  <c r="E45" i="1"/>
  <c r="E46" i="1"/>
  <c r="E44" i="1"/>
  <c r="E42" i="1"/>
  <c r="E43" i="1"/>
  <c r="E41" i="1"/>
  <c r="E39" i="1"/>
  <c r="E40" i="1"/>
  <c r="E38" i="1"/>
  <c r="E36" i="1"/>
  <c r="E37" i="1"/>
  <c r="E35" i="1"/>
  <c r="E33" i="1"/>
  <c r="E34" i="1"/>
  <c r="E32" i="1"/>
  <c r="E30" i="1"/>
  <c r="E31" i="1"/>
  <c r="E29" i="1"/>
  <c r="E27" i="1"/>
  <c r="E28" i="1"/>
  <c r="E26" i="1"/>
  <c r="E24" i="1"/>
  <c r="E25" i="1"/>
  <c r="E23" i="1"/>
  <c r="E21" i="1"/>
  <c r="E22" i="1"/>
  <c r="E20" i="1"/>
  <c r="E18" i="1"/>
  <c r="E19" i="1"/>
  <c r="E17" i="1"/>
  <c r="E15" i="1"/>
  <c r="E16" i="1"/>
  <c r="E14" i="1"/>
  <c r="E12" i="1"/>
  <c r="E13" i="1"/>
  <c r="E11" i="1"/>
  <c r="E9" i="1"/>
  <c r="E10" i="1"/>
  <c r="E8" i="1"/>
  <c r="E6" i="1"/>
  <c r="E7" i="1"/>
  <c r="E5" i="1"/>
  <c r="E3" i="1"/>
  <c r="E4" i="1"/>
  <c r="E2" i="1"/>
</calcChain>
</file>

<file path=xl/sharedStrings.xml><?xml version="1.0" encoding="utf-8"?>
<sst xmlns="http://schemas.openxmlformats.org/spreadsheetml/2006/main" count="187" uniqueCount="124">
  <si>
    <t>Emp ID</t>
  </si>
  <si>
    <t>Name</t>
  </si>
  <si>
    <t xml:space="preserve">Department </t>
  </si>
  <si>
    <t xml:space="preserve">Hours Worked </t>
  </si>
  <si>
    <t>Salary</t>
  </si>
  <si>
    <t xml:space="preserve">Bonus </t>
  </si>
  <si>
    <t xml:space="preserve"> </t>
  </si>
  <si>
    <t>Bonus</t>
  </si>
  <si>
    <t>E001</t>
  </si>
  <si>
    <t>Arun</t>
  </si>
  <si>
    <t>Sales</t>
  </si>
  <si>
    <t>E002</t>
  </si>
  <si>
    <t>Rahul</t>
  </si>
  <si>
    <t>IT</t>
  </si>
  <si>
    <t>E003</t>
  </si>
  <si>
    <t>Sneha</t>
  </si>
  <si>
    <t>HR</t>
  </si>
  <si>
    <t>E004</t>
  </si>
  <si>
    <t>Anu</t>
  </si>
  <si>
    <t>E005</t>
  </si>
  <si>
    <t>Manu</t>
  </si>
  <si>
    <t>E006</t>
  </si>
  <si>
    <t>Riya</t>
  </si>
  <si>
    <t>E007</t>
  </si>
  <si>
    <t>Akhil</t>
  </si>
  <si>
    <t>E008</t>
  </si>
  <si>
    <t>Neha</t>
  </si>
  <si>
    <t>E009</t>
  </si>
  <si>
    <t>Vivek</t>
  </si>
  <si>
    <t>E010</t>
  </si>
  <si>
    <t>Meera</t>
  </si>
  <si>
    <t>E011</t>
  </si>
  <si>
    <t>Kiran</t>
  </si>
  <si>
    <t>E012</t>
  </si>
  <si>
    <t>Asha</t>
  </si>
  <si>
    <t>E013</t>
  </si>
  <si>
    <t>Rohit</t>
  </si>
  <si>
    <t>E014</t>
  </si>
  <si>
    <t>Pooja</t>
  </si>
  <si>
    <t>E015</t>
  </si>
  <si>
    <t>Nikhil</t>
  </si>
  <si>
    <t>E016</t>
  </si>
  <si>
    <t>Divya</t>
  </si>
  <si>
    <t>E017</t>
  </si>
  <si>
    <t>Sachin</t>
  </si>
  <si>
    <t>E018</t>
  </si>
  <si>
    <t>Kavya</t>
  </si>
  <si>
    <t>E019</t>
  </si>
  <si>
    <t>Anoop</t>
  </si>
  <si>
    <t>E020</t>
  </si>
  <si>
    <t>Anjali</t>
  </si>
  <si>
    <t>E021</t>
  </si>
  <si>
    <t>Deepak</t>
  </si>
  <si>
    <t>E022</t>
  </si>
  <si>
    <t>Reshma</t>
  </si>
  <si>
    <t>E023</t>
  </si>
  <si>
    <t>Varun</t>
  </si>
  <si>
    <t>E024</t>
  </si>
  <si>
    <t>Anitha</t>
  </si>
  <si>
    <t>E025</t>
  </si>
  <si>
    <t>Pradeep</t>
  </si>
  <si>
    <t>E026</t>
  </si>
  <si>
    <t>Lekha</t>
  </si>
  <si>
    <t>E027</t>
  </si>
  <si>
    <t>Sunil</t>
  </si>
  <si>
    <t>E028</t>
  </si>
  <si>
    <t>Gayathri</t>
  </si>
  <si>
    <t>E029</t>
  </si>
  <si>
    <t>Ajay</t>
  </si>
  <si>
    <t>E030</t>
  </si>
  <si>
    <t>Nisha</t>
  </si>
  <si>
    <t>E031</t>
  </si>
  <si>
    <t>Rakesh</t>
  </si>
  <si>
    <t>E032</t>
  </si>
  <si>
    <t>Maya</t>
  </si>
  <si>
    <t>E033</t>
  </si>
  <si>
    <t>Suresh</t>
  </si>
  <si>
    <t>E034</t>
  </si>
  <si>
    <t>Keerthi</t>
  </si>
  <si>
    <t>E035</t>
  </si>
  <si>
    <t>Biju</t>
  </si>
  <si>
    <t>E036</t>
  </si>
  <si>
    <t>Ammu</t>
  </si>
  <si>
    <t>E037</t>
  </si>
  <si>
    <t>Jithin</t>
  </si>
  <si>
    <t>E038</t>
  </si>
  <si>
    <t>Teena</t>
  </si>
  <si>
    <t>E039</t>
  </si>
  <si>
    <t>Hari</t>
  </si>
  <si>
    <t>E040</t>
  </si>
  <si>
    <t>Latha</t>
  </si>
  <si>
    <t>E041</t>
  </si>
  <si>
    <t>Mithun</t>
  </si>
  <si>
    <t>E042</t>
  </si>
  <si>
    <t>Rekha</t>
  </si>
  <si>
    <t>E043</t>
  </si>
  <si>
    <t>Shyam</t>
  </si>
  <si>
    <t>E044</t>
  </si>
  <si>
    <t>Beena</t>
  </si>
  <si>
    <t>E045</t>
  </si>
  <si>
    <t>Rajeev</t>
  </si>
  <si>
    <t>E046</t>
  </si>
  <si>
    <t>E047</t>
  </si>
  <si>
    <t>Sonia</t>
  </si>
  <si>
    <t>E048</t>
  </si>
  <si>
    <t>Sanju</t>
  </si>
  <si>
    <t>E049</t>
  </si>
  <si>
    <t>Ravi</t>
  </si>
  <si>
    <t>E050</t>
  </si>
  <si>
    <t>Neethu</t>
  </si>
  <si>
    <t>Rate per Hour</t>
  </si>
  <si>
    <t>Vertical for VLOOKUP</t>
  </si>
  <si>
    <t xml:space="preserve">Departemnt </t>
  </si>
  <si>
    <t>Horizontal for Hlookup</t>
  </si>
  <si>
    <t xml:space="preserve">KPI </t>
  </si>
  <si>
    <t xml:space="preserve">Total Salry </t>
  </si>
  <si>
    <t>Total Bonus</t>
  </si>
  <si>
    <t>Row Labels</t>
  </si>
  <si>
    <t>Grand Total</t>
  </si>
  <si>
    <t>Sum of Salary</t>
  </si>
  <si>
    <t xml:space="preserve">Department V/S Sum of Salary </t>
  </si>
  <si>
    <t>Sum of Bonus</t>
  </si>
  <si>
    <t xml:space="preserve">Department V/S Sum Of BOnus </t>
  </si>
  <si>
    <t>💻 PROJECT 2: Employee Salary MIS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</si>
</sst>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0" fontId="0" fillId="3" borderId="1" xfId="0" applyFill="1" applyBorder="1"/>
    <xf numFmtId="0" fontId="2" fillId="4" borderId="1" xfId="0" applyFont="1" applyFill="1" applyBorder="1"/>
    <xf numFmtId="0" fontId="3" fillId="5" borderId="1" xfId="0" applyFont="1" applyFill="1" applyBorder="1"/>
    <xf numFmtId="9" fontId="3" fillId="5" borderId="1" xfId="0" applyNumberFormat="1" applyFont="1" applyFill="1" applyBorder="1"/>
    <xf numFmtId="0" fontId="4" fillId="6" borderId="1" xfId="0" applyFont="1" applyFill="1" applyBorder="1"/>
    <xf numFmtId="0" fontId="5" fillId="2" borderId="0" xfId="0" applyFont="1" applyFill="1" applyAlignment="1">
      <alignment horizontal="center" vertical="center" readingOrder="1"/>
    </xf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Operator Project 2.xlsx]MIS Report!PivotTable2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V/S Sum of Salary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'MIS Report'!$B$5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'MIS Report'!$A$6:$A$9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'MIS Report'!$B$6:$B$9</c:f>
              <c:numCache>
                <c:formatCode>General</c:formatCode>
                <c:ptCount val="3"/>
                <c:pt idx="0">
                  <c:v>664500</c:v>
                </c:pt>
                <c:pt idx="1">
                  <c:v>652500</c:v>
                </c:pt>
                <c:pt idx="2">
                  <c:v>694500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2-4464-B0F3-CB0501A5D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5442912"/>
        <c:axId val="2025427552"/>
      </c:barChart>
      <c:catAx>
        <c:axId val="202544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427552"/>
        <c:crosses val="autoZero"/>
        <c:auto val="1"/>
        <c:lblAlgn val="ctr"/>
        <c:lblOffset val="100"/>
        <c:noMultiLvlLbl val="0"/>
      </c:catAx>
      <c:valAx>
        <c:axId val="202542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44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Operator Project 2.xlsx]MIS Report!PivotTable4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V/S Sum Of BOnus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'MIS Report'!$B$21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'MIS Report'!$A$22:$A$25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'MIS Report'!$B$22:$B$25</c:f>
              <c:numCache>
                <c:formatCode>General</c:formatCode>
                <c:ptCount val="3"/>
                <c:pt idx="0">
                  <c:v>53160</c:v>
                </c:pt>
                <c:pt idx="1">
                  <c:v>78300</c:v>
                </c:pt>
                <c:pt idx="2">
                  <c:v>69450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2-40F5-A6D7-7C498ED44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4</xdr:row>
      <xdr:rowOff>0</xdr:rowOff>
    </xdr:from>
    <xdr:to>
      <xdr:col>9</xdr:col>
      <xdr:colOff>342900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B3BF2A-8854-59E8-EF10-96ECCED53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419100</xdr:colOff>
      <xdr:row>22</xdr:row>
      <xdr:rowOff>45720</xdr:rowOff>
    </xdr:from>
    <xdr:to>
      <xdr:col>7</xdr:col>
      <xdr:colOff>281940</xdr:colOff>
      <xdr:row>37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C3CCBE-4D7A-4B8B-D6B0-9EE0A1147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129.386602546299" createdVersion="8" refreshedVersion="8" minRefreshableVersion="3" recordCount="50" xr:uid="{EC13F85D-4769-418A-A31A-1723EF8318B5}">
  <cacheSource type="worksheet">
    <worksheetSource ref="A1:G51" sheet="Employee Data"/>
  </cacheSource>
  <cacheFields count="7">
    <cacheField name="Emp ID" numFmtId="0">
      <sharedItems/>
    </cacheField>
    <cacheField name="Name" numFmtId="0">
      <sharedItems/>
    </cacheField>
    <cacheField name="Department " numFmtId="0">
      <sharedItems count="3">
        <s v="Sales"/>
        <s v="IT"/>
        <s v="HR"/>
      </sharedItems>
    </cacheField>
    <cacheField name="Hours Worked " numFmtId="0">
      <sharedItems containsSemiMixedTypes="0" containsString="0" containsNumber="1" containsInteger="1" minValue="147" maxValue="175"/>
    </cacheField>
    <cacheField name="Salary" numFmtId="0">
      <sharedItems containsSemiMixedTypes="0" containsString="0" containsNumber="1" containsInteger="1" minValue="32000" maxValue="45000"/>
    </cacheField>
    <cacheField name="Bonus" numFmtId="0">
      <sharedItems containsSemiMixedTypes="0" containsString="0" containsNumber="1" containsInteger="1" minValue="3020" maxValue="5400"/>
    </cacheField>
    <cacheField name="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129.388562962966" createdVersion="8" refreshedVersion="8" minRefreshableVersion="3" recordCount="50" xr:uid="{E6D9457C-702C-4B0B-A45A-E3E21F91DDFE}">
  <cacheSource type="worksheet">
    <worksheetSource ref="A1:F51" sheet="Employee Data"/>
  </cacheSource>
  <cacheFields count="6">
    <cacheField name="Emp ID" numFmtId="0">
      <sharedItems/>
    </cacheField>
    <cacheField name="Name" numFmtId="0">
      <sharedItems/>
    </cacheField>
    <cacheField name="Department " numFmtId="0">
      <sharedItems count="3">
        <s v="Sales"/>
        <s v="IT"/>
        <s v="HR"/>
      </sharedItems>
    </cacheField>
    <cacheField name="Hours Worked " numFmtId="0">
      <sharedItems containsSemiMixedTypes="0" containsString="0" containsNumber="1" containsInteger="1" minValue="147" maxValue="175"/>
    </cacheField>
    <cacheField name="Salary" numFmtId="0">
      <sharedItems containsSemiMixedTypes="0" containsString="0" containsNumber="1" containsInteger="1" minValue="32000" maxValue="45000"/>
    </cacheField>
    <cacheField name="Bonus" numFmtId="0">
      <sharedItems containsSemiMixedTypes="0" containsString="0" containsNumber="1" containsInteger="1" minValue="3020" maxValue="5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001"/>
    <s v="Arun"/>
    <x v="0"/>
    <n v="160"/>
    <n v="32000"/>
    <n v="3200"/>
    <m/>
  </r>
  <r>
    <s v="E002"/>
    <s v="Rahul"/>
    <x v="1"/>
    <n v="150"/>
    <n v="45000"/>
    <n v="5400"/>
    <m/>
  </r>
  <r>
    <s v="E003"/>
    <s v="Sneha"/>
    <x v="2"/>
    <n v="170"/>
    <n v="42500"/>
    <n v="3400"/>
    <m/>
  </r>
  <r>
    <s v="E004"/>
    <s v="Anu"/>
    <x v="0"/>
    <n v="165"/>
    <n v="41250"/>
    <n v="4125"/>
    <m/>
  </r>
  <r>
    <s v="E005"/>
    <s v="Manu"/>
    <x v="1"/>
    <n v="155"/>
    <n v="38750"/>
    <n v="4650"/>
    <m/>
  </r>
  <r>
    <s v="E006"/>
    <s v="Riya"/>
    <x v="2"/>
    <n v="160"/>
    <n v="40000"/>
    <n v="3200"/>
    <m/>
  </r>
  <r>
    <s v="E007"/>
    <s v="Akhil"/>
    <x v="0"/>
    <n v="172"/>
    <n v="43000"/>
    <n v="4300"/>
    <m/>
  </r>
  <r>
    <s v="E008"/>
    <s v="Neha"/>
    <x v="1"/>
    <n v="148"/>
    <n v="37000"/>
    <n v="4440"/>
    <m/>
  </r>
  <r>
    <s v="E009"/>
    <s v="Vivek"/>
    <x v="2"/>
    <n v="169"/>
    <n v="42250"/>
    <n v="3380"/>
    <m/>
  </r>
  <r>
    <s v="E010"/>
    <s v="Meera"/>
    <x v="0"/>
    <n v="158"/>
    <n v="39500"/>
    <n v="3950"/>
    <m/>
  </r>
  <r>
    <s v="E011"/>
    <s v="Kiran"/>
    <x v="1"/>
    <n v="162"/>
    <n v="40500"/>
    <n v="4860"/>
    <m/>
  </r>
  <r>
    <s v="E012"/>
    <s v="Asha"/>
    <x v="2"/>
    <n v="151"/>
    <n v="37750"/>
    <n v="3020"/>
    <m/>
  </r>
  <r>
    <s v="E013"/>
    <s v="Rohit"/>
    <x v="0"/>
    <n v="175"/>
    <n v="43750"/>
    <n v="4375"/>
    <m/>
  </r>
  <r>
    <s v="E014"/>
    <s v="Pooja"/>
    <x v="1"/>
    <n v="149"/>
    <n v="37250"/>
    <n v="4470"/>
    <m/>
  </r>
  <r>
    <s v="E015"/>
    <s v="Nikhil"/>
    <x v="2"/>
    <n v="168"/>
    <n v="42000"/>
    <n v="3360"/>
    <m/>
  </r>
  <r>
    <s v="E016"/>
    <s v="Divya"/>
    <x v="0"/>
    <n v="161"/>
    <n v="40250"/>
    <n v="4025"/>
    <m/>
  </r>
  <r>
    <s v="E017"/>
    <s v="Sachin"/>
    <x v="1"/>
    <n v="153"/>
    <n v="38250"/>
    <n v="4590"/>
    <m/>
  </r>
  <r>
    <s v="E018"/>
    <s v="Kavya"/>
    <x v="2"/>
    <n v="166"/>
    <n v="41500"/>
    <n v="3320"/>
    <m/>
  </r>
  <r>
    <s v="E019"/>
    <s v="Anoop"/>
    <x v="0"/>
    <n v="159"/>
    <n v="39750"/>
    <n v="3975"/>
    <m/>
  </r>
  <r>
    <s v="E020"/>
    <s v="Anjali"/>
    <x v="1"/>
    <n v="150"/>
    <n v="37500"/>
    <n v="4500"/>
    <m/>
  </r>
  <r>
    <s v="E021"/>
    <s v="Deepak"/>
    <x v="2"/>
    <n v="171"/>
    <n v="42750"/>
    <n v="3420"/>
    <m/>
  </r>
  <r>
    <s v="E022"/>
    <s v="Reshma"/>
    <x v="0"/>
    <n v="167"/>
    <n v="41750"/>
    <n v="4175"/>
    <m/>
  </r>
  <r>
    <s v="E023"/>
    <s v="Varun"/>
    <x v="1"/>
    <n v="154"/>
    <n v="38500"/>
    <n v="4620"/>
    <m/>
  </r>
  <r>
    <s v="E024"/>
    <s v="Anitha"/>
    <x v="2"/>
    <n v="165"/>
    <n v="41250"/>
    <n v="3300"/>
    <m/>
  </r>
  <r>
    <s v="E025"/>
    <s v="Pradeep"/>
    <x v="0"/>
    <n v="173"/>
    <n v="43250"/>
    <n v="4325"/>
    <m/>
  </r>
  <r>
    <s v="E026"/>
    <s v="Lekha"/>
    <x v="1"/>
    <n v="147"/>
    <n v="36750"/>
    <n v="4410"/>
    <m/>
  </r>
  <r>
    <s v="E027"/>
    <s v="Sunil"/>
    <x v="2"/>
    <n v="164"/>
    <n v="41000"/>
    <n v="3280"/>
    <m/>
  </r>
  <r>
    <s v="E028"/>
    <s v="Gayathri"/>
    <x v="0"/>
    <n v="160"/>
    <n v="40000"/>
    <n v="4000"/>
    <m/>
  </r>
  <r>
    <s v="E029"/>
    <s v="Ajay"/>
    <x v="1"/>
    <n v="152"/>
    <n v="38000"/>
    <n v="4560"/>
    <m/>
  </r>
  <r>
    <s v="E030"/>
    <s v="Nisha"/>
    <x v="2"/>
    <n v="169"/>
    <n v="42250"/>
    <n v="3380"/>
    <m/>
  </r>
  <r>
    <s v="E031"/>
    <s v="Rakesh"/>
    <x v="0"/>
    <n v="162"/>
    <n v="40500"/>
    <n v="4050"/>
    <m/>
  </r>
  <r>
    <s v="E032"/>
    <s v="Maya"/>
    <x v="1"/>
    <n v="151"/>
    <n v="37750"/>
    <n v="4530"/>
    <m/>
  </r>
  <r>
    <s v="E033"/>
    <s v="Suresh"/>
    <x v="2"/>
    <n v="170"/>
    <n v="42500"/>
    <n v="3400"/>
    <m/>
  </r>
  <r>
    <s v="E034"/>
    <s v="Keerthi"/>
    <x v="0"/>
    <n v="158"/>
    <n v="39500"/>
    <n v="3950"/>
    <m/>
  </r>
  <r>
    <s v="E035"/>
    <s v="Biju"/>
    <x v="1"/>
    <n v="149"/>
    <n v="37250"/>
    <n v="4470"/>
    <m/>
  </r>
  <r>
    <s v="E036"/>
    <s v="Ammu"/>
    <x v="2"/>
    <n v="167"/>
    <n v="41750"/>
    <n v="3340"/>
    <m/>
  </r>
  <r>
    <s v="E037"/>
    <s v="Jithin"/>
    <x v="0"/>
    <n v="174"/>
    <n v="43500"/>
    <n v="4350"/>
    <m/>
  </r>
  <r>
    <s v="E038"/>
    <s v="Teena"/>
    <x v="1"/>
    <n v="155"/>
    <n v="38750"/>
    <n v="4650"/>
    <m/>
  </r>
  <r>
    <s v="E039"/>
    <s v="Hari"/>
    <x v="2"/>
    <n v="168"/>
    <n v="42000"/>
    <n v="3360"/>
    <m/>
  </r>
  <r>
    <s v="E040"/>
    <s v="Latha"/>
    <x v="0"/>
    <n v="160"/>
    <n v="40000"/>
    <n v="4000"/>
    <m/>
  </r>
  <r>
    <s v="E041"/>
    <s v="Mithun"/>
    <x v="1"/>
    <n v="153"/>
    <n v="38250"/>
    <n v="4590"/>
    <m/>
  </r>
  <r>
    <s v="E042"/>
    <s v="Rekha"/>
    <x v="2"/>
    <n v="166"/>
    <n v="41500"/>
    <n v="3320"/>
    <m/>
  </r>
  <r>
    <s v="E043"/>
    <s v="Shyam"/>
    <x v="0"/>
    <n v="171"/>
    <n v="42750"/>
    <n v="4275"/>
    <m/>
  </r>
  <r>
    <s v="E044"/>
    <s v="Beena"/>
    <x v="1"/>
    <n v="150"/>
    <n v="37500"/>
    <n v="4500"/>
    <m/>
  </r>
  <r>
    <s v="E045"/>
    <s v="Rajeev"/>
    <x v="2"/>
    <n v="169"/>
    <n v="42250"/>
    <n v="3380"/>
    <m/>
  </r>
  <r>
    <s v="E046"/>
    <s v="Anoop"/>
    <x v="0"/>
    <n v="163"/>
    <n v="40750"/>
    <n v="4075"/>
    <m/>
  </r>
  <r>
    <s v="E047"/>
    <s v="Sonia"/>
    <x v="1"/>
    <n v="148"/>
    <n v="37000"/>
    <n v="4440"/>
    <m/>
  </r>
  <r>
    <s v="E048"/>
    <s v="Sanju"/>
    <x v="2"/>
    <n v="165"/>
    <n v="41250"/>
    <n v="3300"/>
    <m/>
  </r>
  <r>
    <s v="E049"/>
    <s v="Ravi"/>
    <x v="0"/>
    <n v="172"/>
    <n v="43000"/>
    <n v="4300"/>
    <m/>
  </r>
  <r>
    <s v="E050"/>
    <s v="Neethu"/>
    <x v="1"/>
    <n v="154"/>
    <n v="38500"/>
    <n v="462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001"/>
    <s v="Arun"/>
    <x v="0"/>
    <n v="160"/>
    <n v="32000"/>
    <n v="3200"/>
  </r>
  <r>
    <s v="E002"/>
    <s v="Rahul"/>
    <x v="1"/>
    <n v="150"/>
    <n v="45000"/>
    <n v="5400"/>
  </r>
  <r>
    <s v="E003"/>
    <s v="Sneha"/>
    <x v="2"/>
    <n v="170"/>
    <n v="42500"/>
    <n v="3400"/>
  </r>
  <r>
    <s v="E004"/>
    <s v="Anu"/>
    <x v="0"/>
    <n v="165"/>
    <n v="41250"/>
    <n v="4125"/>
  </r>
  <r>
    <s v="E005"/>
    <s v="Manu"/>
    <x v="1"/>
    <n v="155"/>
    <n v="38750"/>
    <n v="4650"/>
  </r>
  <r>
    <s v="E006"/>
    <s v="Riya"/>
    <x v="2"/>
    <n v="160"/>
    <n v="40000"/>
    <n v="3200"/>
  </r>
  <r>
    <s v="E007"/>
    <s v="Akhil"/>
    <x v="0"/>
    <n v="172"/>
    <n v="43000"/>
    <n v="4300"/>
  </r>
  <r>
    <s v="E008"/>
    <s v="Neha"/>
    <x v="1"/>
    <n v="148"/>
    <n v="37000"/>
    <n v="4440"/>
  </r>
  <r>
    <s v="E009"/>
    <s v="Vivek"/>
    <x v="2"/>
    <n v="169"/>
    <n v="42250"/>
    <n v="3380"/>
  </r>
  <r>
    <s v="E010"/>
    <s v="Meera"/>
    <x v="0"/>
    <n v="158"/>
    <n v="39500"/>
    <n v="3950"/>
  </r>
  <r>
    <s v="E011"/>
    <s v="Kiran"/>
    <x v="1"/>
    <n v="162"/>
    <n v="40500"/>
    <n v="4860"/>
  </r>
  <r>
    <s v="E012"/>
    <s v="Asha"/>
    <x v="2"/>
    <n v="151"/>
    <n v="37750"/>
    <n v="3020"/>
  </r>
  <r>
    <s v="E013"/>
    <s v="Rohit"/>
    <x v="0"/>
    <n v="175"/>
    <n v="43750"/>
    <n v="4375"/>
  </r>
  <r>
    <s v="E014"/>
    <s v="Pooja"/>
    <x v="1"/>
    <n v="149"/>
    <n v="37250"/>
    <n v="4470"/>
  </r>
  <r>
    <s v="E015"/>
    <s v="Nikhil"/>
    <x v="2"/>
    <n v="168"/>
    <n v="42000"/>
    <n v="3360"/>
  </r>
  <r>
    <s v="E016"/>
    <s v="Divya"/>
    <x v="0"/>
    <n v="161"/>
    <n v="40250"/>
    <n v="4025"/>
  </r>
  <r>
    <s v="E017"/>
    <s v="Sachin"/>
    <x v="1"/>
    <n v="153"/>
    <n v="38250"/>
    <n v="4590"/>
  </r>
  <r>
    <s v="E018"/>
    <s v="Kavya"/>
    <x v="2"/>
    <n v="166"/>
    <n v="41500"/>
    <n v="3320"/>
  </r>
  <r>
    <s v="E019"/>
    <s v="Anoop"/>
    <x v="0"/>
    <n v="159"/>
    <n v="39750"/>
    <n v="3975"/>
  </r>
  <r>
    <s v="E020"/>
    <s v="Anjali"/>
    <x v="1"/>
    <n v="150"/>
    <n v="37500"/>
    <n v="4500"/>
  </r>
  <r>
    <s v="E021"/>
    <s v="Deepak"/>
    <x v="2"/>
    <n v="171"/>
    <n v="42750"/>
    <n v="3420"/>
  </r>
  <r>
    <s v="E022"/>
    <s v="Reshma"/>
    <x v="0"/>
    <n v="167"/>
    <n v="41750"/>
    <n v="4175"/>
  </r>
  <r>
    <s v="E023"/>
    <s v="Varun"/>
    <x v="1"/>
    <n v="154"/>
    <n v="38500"/>
    <n v="4620"/>
  </r>
  <r>
    <s v="E024"/>
    <s v="Anitha"/>
    <x v="2"/>
    <n v="165"/>
    <n v="41250"/>
    <n v="3300"/>
  </r>
  <r>
    <s v="E025"/>
    <s v="Pradeep"/>
    <x v="0"/>
    <n v="173"/>
    <n v="43250"/>
    <n v="4325"/>
  </r>
  <r>
    <s v="E026"/>
    <s v="Lekha"/>
    <x v="1"/>
    <n v="147"/>
    <n v="36750"/>
    <n v="4410"/>
  </r>
  <r>
    <s v="E027"/>
    <s v="Sunil"/>
    <x v="2"/>
    <n v="164"/>
    <n v="41000"/>
    <n v="3280"/>
  </r>
  <r>
    <s v="E028"/>
    <s v="Gayathri"/>
    <x v="0"/>
    <n v="160"/>
    <n v="40000"/>
    <n v="4000"/>
  </r>
  <r>
    <s v="E029"/>
    <s v="Ajay"/>
    <x v="1"/>
    <n v="152"/>
    <n v="38000"/>
    <n v="4560"/>
  </r>
  <r>
    <s v="E030"/>
    <s v="Nisha"/>
    <x v="2"/>
    <n v="169"/>
    <n v="42250"/>
    <n v="3380"/>
  </r>
  <r>
    <s v="E031"/>
    <s v="Rakesh"/>
    <x v="0"/>
    <n v="162"/>
    <n v="40500"/>
    <n v="4050"/>
  </r>
  <r>
    <s v="E032"/>
    <s v="Maya"/>
    <x v="1"/>
    <n v="151"/>
    <n v="37750"/>
    <n v="4530"/>
  </r>
  <r>
    <s v="E033"/>
    <s v="Suresh"/>
    <x v="2"/>
    <n v="170"/>
    <n v="42500"/>
    <n v="3400"/>
  </r>
  <r>
    <s v="E034"/>
    <s v="Keerthi"/>
    <x v="0"/>
    <n v="158"/>
    <n v="39500"/>
    <n v="3950"/>
  </r>
  <r>
    <s v="E035"/>
    <s v="Biju"/>
    <x v="1"/>
    <n v="149"/>
    <n v="37250"/>
    <n v="4470"/>
  </r>
  <r>
    <s v="E036"/>
    <s v="Ammu"/>
    <x v="2"/>
    <n v="167"/>
    <n v="41750"/>
    <n v="3340"/>
  </r>
  <r>
    <s v="E037"/>
    <s v="Jithin"/>
    <x v="0"/>
    <n v="174"/>
    <n v="43500"/>
    <n v="4350"/>
  </r>
  <r>
    <s v="E038"/>
    <s v="Teena"/>
    <x v="1"/>
    <n v="155"/>
    <n v="38750"/>
    <n v="4650"/>
  </r>
  <r>
    <s v="E039"/>
    <s v="Hari"/>
    <x v="2"/>
    <n v="168"/>
    <n v="42000"/>
    <n v="3360"/>
  </r>
  <r>
    <s v="E040"/>
    <s v="Latha"/>
    <x v="0"/>
    <n v="160"/>
    <n v="40000"/>
    <n v="4000"/>
  </r>
  <r>
    <s v="E041"/>
    <s v="Mithun"/>
    <x v="1"/>
    <n v="153"/>
    <n v="38250"/>
    <n v="4590"/>
  </r>
  <r>
    <s v="E042"/>
    <s v="Rekha"/>
    <x v="2"/>
    <n v="166"/>
    <n v="41500"/>
    <n v="3320"/>
  </r>
  <r>
    <s v="E043"/>
    <s v="Shyam"/>
    <x v="0"/>
    <n v="171"/>
    <n v="42750"/>
    <n v="4275"/>
  </r>
  <r>
    <s v="E044"/>
    <s v="Beena"/>
    <x v="1"/>
    <n v="150"/>
    <n v="37500"/>
    <n v="4500"/>
  </r>
  <r>
    <s v="E045"/>
    <s v="Rajeev"/>
    <x v="2"/>
    <n v="169"/>
    <n v="42250"/>
    <n v="3380"/>
  </r>
  <r>
    <s v="E046"/>
    <s v="Anoop"/>
    <x v="0"/>
    <n v="163"/>
    <n v="40750"/>
    <n v="4075"/>
  </r>
  <r>
    <s v="E047"/>
    <s v="Sonia"/>
    <x v="1"/>
    <n v="148"/>
    <n v="37000"/>
    <n v="4440"/>
  </r>
  <r>
    <s v="E048"/>
    <s v="Sanju"/>
    <x v="2"/>
    <n v="165"/>
    <n v="41250"/>
    <n v="3300"/>
  </r>
  <r>
    <s v="E049"/>
    <s v="Ravi"/>
    <x v="0"/>
    <n v="172"/>
    <n v="43000"/>
    <n v="4300"/>
  </r>
  <r>
    <s v="E050"/>
    <s v="Neethu"/>
    <x v="1"/>
    <n v="154"/>
    <n v="38500"/>
    <n v="46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40363-DC78-4440-8D37-87861EC5A1B8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B25" firstHeaderRow="1" firstDataRow="1" firstDataCol="1"/>
  <pivotFields count="6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Bonus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302CD-FFCF-4292-90AD-50B2A2A4543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:B9" firstHeaderRow="1" firstDataRow="1" firstDataCol="1"/>
  <pivotFields count="7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2DA9-AB46-4755-9F7C-993D0CEA8089}">
  <dimension ref="A1:I51"/>
  <sheetViews>
    <sheetView tabSelected="1" workbookViewId="0">
      <selection activeCell="I16" sqref="I16"/>
    </sheetView>
  </sheetViews>
  <sheetFormatPr defaultRowHeight="14.4" x14ac:dyDescent="0.3"/>
  <cols>
    <col min="3" max="3" width="13.6640625" customWidth="1"/>
    <col min="4" max="5" width="15.5546875" customWidth="1"/>
    <col min="6" max="6" width="14.44140625" customWidth="1"/>
    <col min="9" max="9" width="45.109375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7</v>
      </c>
      <c r="G1" t="s">
        <v>6</v>
      </c>
    </row>
    <row r="2" spans="1:9" x14ac:dyDescent="0.3">
      <c r="A2" s="7" t="s">
        <v>8</v>
      </c>
      <c r="B2" s="7" t="s">
        <v>9</v>
      </c>
      <c r="C2" s="7" t="s">
        <v>10</v>
      </c>
      <c r="D2" s="7">
        <v>160</v>
      </c>
      <c r="E2" s="7">
        <f>VLOOKUP(C2,'Salary Master  '!A2:B4,2,FALSE)*D2</f>
        <v>32000</v>
      </c>
      <c r="F2" s="7">
        <f>E2*HLOOKUP(C2,'Salary Master  '!D1:G2,2,FALSE)</f>
        <v>3200</v>
      </c>
    </row>
    <row r="3" spans="1:9" x14ac:dyDescent="0.3">
      <c r="A3" s="7" t="s">
        <v>11</v>
      </c>
      <c r="B3" s="7" t="s">
        <v>12</v>
      </c>
      <c r="C3" s="7" t="s">
        <v>13</v>
      </c>
      <c r="D3" s="7">
        <v>150</v>
      </c>
      <c r="E3" s="7">
        <f>VLOOKUP(C3,'Salary Master  '!A3:B5,2,FALSE)*D3</f>
        <v>45000</v>
      </c>
      <c r="F3" s="7">
        <f>E3*HLOOKUP(C3,'Salary Master  '!D1:G2,2,FALSE)</f>
        <v>5400</v>
      </c>
    </row>
    <row r="4" spans="1:9" x14ac:dyDescent="0.3">
      <c r="A4" s="7" t="s">
        <v>14</v>
      </c>
      <c r="B4" s="7" t="s">
        <v>15</v>
      </c>
      <c r="C4" s="7" t="s">
        <v>16</v>
      </c>
      <c r="D4" s="7">
        <v>170</v>
      </c>
      <c r="E4" s="7">
        <f>VLOOKUP(C4,'Salary Master  '!A4:B6,2,FALSE)*D4</f>
        <v>42500</v>
      </c>
      <c r="F4" s="7">
        <f>E4*HLOOKUP(C4,'Salary Master  '!D1:G2,2,FALSE)</f>
        <v>3400</v>
      </c>
    </row>
    <row r="5" spans="1:9" x14ac:dyDescent="0.3">
      <c r="A5" s="7" t="s">
        <v>17</v>
      </c>
      <c r="B5" s="7" t="s">
        <v>18</v>
      </c>
      <c r="C5" s="7" t="s">
        <v>10</v>
      </c>
      <c r="D5" s="7">
        <v>165</v>
      </c>
      <c r="E5" s="7">
        <f>VLOOKUP(C5,'Salary Master  '!A2:B4,2)*D5</f>
        <v>41250</v>
      </c>
      <c r="F5" s="7">
        <f>E5*HLOOKUP(C5,'Salary Master  '!D1:G2,2,FALSE)</f>
        <v>4125</v>
      </c>
    </row>
    <row r="6" spans="1:9" x14ac:dyDescent="0.3">
      <c r="A6" s="7" t="s">
        <v>19</v>
      </c>
      <c r="B6" s="7" t="s">
        <v>20</v>
      </c>
      <c r="C6" s="7" t="s">
        <v>13</v>
      </c>
      <c r="D6" s="7">
        <v>155</v>
      </c>
      <c r="E6" s="7">
        <f>VLOOKUP(C6,'Salary Master  '!A3:B5,2)*D6</f>
        <v>38750</v>
      </c>
      <c r="F6" s="7">
        <f>E6*HLOOKUP(C6,'Salary Master  '!D1:G2,2,FALSE)</f>
        <v>4650</v>
      </c>
    </row>
    <row r="7" spans="1:9" x14ac:dyDescent="0.3">
      <c r="A7" s="7" t="s">
        <v>21</v>
      </c>
      <c r="B7" s="7" t="s">
        <v>22</v>
      </c>
      <c r="C7" s="7" t="s">
        <v>16</v>
      </c>
      <c r="D7" s="7">
        <v>160</v>
      </c>
      <c r="E7" s="7">
        <f>VLOOKUP(C7,'Salary Master  '!A4:B6,2)*D7</f>
        <v>40000</v>
      </c>
      <c r="F7" s="7">
        <f>E7*HLOOKUP(C7,'Salary Master  '!D1:G2,2,FALSE)</f>
        <v>3200</v>
      </c>
    </row>
    <row r="8" spans="1:9" x14ac:dyDescent="0.3">
      <c r="A8" s="7" t="s">
        <v>23</v>
      </c>
      <c r="B8" s="7" t="s">
        <v>24</v>
      </c>
      <c r="C8" s="7" t="s">
        <v>10</v>
      </c>
      <c r="D8" s="7">
        <v>172</v>
      </c>
      <c r="E8" s="7">
        <f>VLOOKUP(C8,'Salary Master  '!A2:B4,2)*D8</f>
        <v>43000</v>
      </c>
      <c r="F8" s="7">
        <f>E8*HLOOKUP(C8,'Salary Master  '!D1:G2,2,FALSE)</f>
        <v>4300</v>
      </c>
    </row>
    <row r="9" spans="1:9" x14ac:dyDescent="0.3">
      <c r="A9" s="7" t="s">
        <v>25</v>
      </c>
      <c r="B9" s="7" t="s">
        <v>26</v>
      </c>
      <c r="C9" s="7" t="s">
        <v>13</v>
      </c>
      <c r="D9" s="7">
        <v>148</v>
      </c>
      <c r="E9" s="7">
        <f>VLOOKUP(C9,'Salary Master  '!A3:B5,2)*D9</f>
        <v>37000</v>
      </c>
      <c r="F9" s="7">
        <f>E9*HLOOKUP(C9,'Salary Master  '!D1:G2,2,FALSE)</f>
        <v>4440</v>
      </c>
    </row>
    <row r="10" spans="1:9" x14ac:dyDescent="0.3">
      <c r="A10" s="7" t="s">
        <v>27</v>
      </c>
      <c r="B10" s="7" t="s">
        <v>28</v>
      </c>
      <c r="C10" s="7" t="s">
        <v>16</v>
      </c>
      <c r="D10" s="7">
        <v>169</v>
      </c>
      <c r="E10" s="7">
        <f>VLOOKUP(C10,'Salary Master  '!A4:B6,2)*D10</f>
        <v>42250</v>
      </c>
      <c r="F10" s="7">
        <f>E10*HLOOKUP(C10,'Salary Master  '!D1:G2,2,FALSE)</f>
        <v>3380</v>
      </c>
    </row>
    <row r="11" spans="1:9" x14ac:dyDescent="0.3">
      <c r="A11" s="7" t="s">
        <v>29</v>
      </c>
      <c r="B11" s="7" t="s">
        <v>30</v>
      </c>
      <c r="C11" s="7" t="s">
        <v>10</v>
      </c>
      <c r="D11" s="7">
        <v>158</v>
      </c>
      <c r="E11" s="7">
        <f>VLOOKUP(C11,'Salary Master  '!A2:B4,2)*D11</f>
        <v>39500</v>
      </c>
      <c r="F11" s="7">
        <f>E11*HLOOKUP(C11,'Salary Master  '!D1:G2,2,FALSE)</f>
        <v>3950</v>
      </c>
    </row>
    <row r="12" spans="1:9" x14ac:dyDescent="0.3">
      <c r="A12" s="7" t="s">
        <v>31</v>
      </c>
      <c r="B12" s="7" t="s">
        <v>32</v>
      </c>
      <c r="C12" s="7" t="s">
        <v>13</v>
      </c>
      <c r="D12" s="7">
        <v>162</v>
      </c>
      <c r="E12" s="7">
        <f>VLOOKUP(C12,'Salary Master  '!A3:B5,2)*D12</f>
        <v>40500</v>
      </c>
      <c r="F12" s="7">
        <f>E12*HLOOKUP(C12,'Salary Master  '!D1:G2,2,FALSE)</f>
        <v>4860</v>
      </c>
    </row>
    <row r="13" spans="1:9" x14ac:dyDescent="0.3">
      <c r="A13" s="7" t="s">
        <v>33</v>
      </c>
      <c r="B13" s="7" t="s">
        <v>34</v>
      </c>
      <c r="C13" s="7" t="s">
        <v>16</v>
      </c>
      <c r="D13" s="7">
        <v>151</v>
      </c>
      <c r="E13" s="7">
        <f>VLOOKUP(C13,'Salary Master  '!A4:B6,2)*D13</f>
        <v>37750</v>
      </c>
      <c r="F13" s="7">
        <f>E13*HLOOKUP(C13,'Salary Master  '!D1:G2,2,FALSE)</f>
        <v>3020</v>
      </c>
    </row>
    <row r="14" spans="1:9" x14ac:dyDescent="0.3">
      <c r="A14" s="7" t="s">
        <v>35</v>
      </c>
      <c r="B14" s="7" t="s">
        <v>36</v>
      </c>
      <c r="C14" s="7" t="s">
        <v>10</v>
      </c>
      <c r="D14" s="7">
        <v>175</v>
      </c>
      <c r="E14" s="7">
        <f>VLOOKUP(C14,'Salary Master  '!A2:B4,2)*'Employee Data'!D14</f>
        <v>43750</v>
      </c>
      <c r="F14" s="7">
        <f>E14*HLOOKUP(C14,'Salary Master  '!D1:G2,2,FALSE)</f>
        <v>4375</v>
      </c>
      <c r="I14" s="5" t="s">
        <v>123</v>
      </c>
    </row>
    <row r="15" spans="1:9" x14ac:dyDescent="0.3">
      <c r="A15" s="7" t="s">
        <v>37</v>
      </c>
      <c r="B15" s="7" t="s">
        <v>38</v>
      </c>
      <c r="C15" s="7" t="s">
        <v>13</v>
      </c>
      <c r="D15" s="7">
        <v>149</v>
      </c>
      <c r="E15" s="7">
        <f>VLOOKUP(C15,'Salary Master  '!A3:B5,2)*'Employee Data'!D15</f>
        <v>37250</v>
      </c>
      <c r="F15" s="7">
        <f>E15*HLOOKUP(C15,'Salary Master  '!D1:G2,2,FALSE)</f>
        <v>4470</v>
      </c>
    </row>
    <row r="16" spans="1:9" x14ac:dyDescent="0.3">
      <c r="A16" s="7" t="s">
        <v>39</v>
      </c>
      <c r="B16" s="7" t="s">
        <v>40</v>
      </c>
      <c r="C16" s="7" t="s">
        <v>16</v>
      </c>
      <c r="D16" s="7">
        <v>168</v>
      </c>
      <c r="E16" s="7">
        <f>VLOOKUP(C16,'Salary Master  '!A4:B6,2)*'Employee Data'!D16</f>
        <v>42000</v>
      </c>
      <c r="F16" s="7">
        <f>E16*HLOOKUP(C16,'Salary Master  '!D1:G2,2,FALSE)</f>
        <v>3360</v>
      </c>
    </row>
    <row r="17" spans="1:6" x14ac:dyDescent="0.3">
      <c r="A17" s="7" t="s">
        <v>41</v>
      </c>
      <c r="B17" s="7" t="s">
        <v>42</v>
      </c>
      <c r="C17" s="7" t="s">
        <v>10</v>
      </c>
      <c r="D17" s="7">
        <v>161</v>
      </c>
      <c r="E17" s="7">
        <f>VLOOKUP(C17,'Salary Master  '!A2:B4,2)*'Employee Data'!D17</f>
        <v>40250</v>
      </c>
      <c r="F17" s="7">
        <f>E17*HLOOKUP(C17,'Salary Master  '!D1:G2,2,FALSE)</f>
        <v>4025</v>
      </c>
    </row>
    <row r="18" spans="1:6" x14ac:dyDescent="0.3">
      <c r="A18" s="7" t="s">
        <v>43</v>
      </c>
      <c r="B18" s="7" t="s">
        <v>44</v>
      </c>
      <c r="C18" s="7" t="s">
        <v>13</v>
      </c>
      <c r="D18" s="7">
        <v>153</v>
      </c>
      <c r="E18" s="7">
        <f>VLOOKUP(C18,'Salary Master  '!A3:B5,2)*'Employee Data'!D18</f>
        <v>38250</v>
      </c>
      <c r="F18" s="7">
        <f>E18*HLOOKUP(C18,'Salary Master  '!D1:G2,2,FALSE)</f>
        <v>4590</v>
      </c>
    </row>
    <row r="19" spans="1:6" x14ac:dyDescent="0.3">
      <c r="A19" s="7" t="s">
        <v>45</v>
      </c>
      <c r="B19" s="7" t="s">
        <v>46</v>
      </c>
      <c r="C19" s="7" t="s">
        <v>16</v>
      </c>
      <c r="D19" s="7">
        <v>166</v>
      </c>
      <c r="E19" s="7">
        <f>VLOOKUP(C19,'Salary Master  '!A4:B6,2)*'Employee Data'!D19</f>
        <v>41500</v>
      </c>
      <c r="F19" s="7">
        <f>E19*HLOOKUP(C19,'Salary Master  '!D1:G2,2,FALSE)</f>
        <v>3320</v>
      </c>
    </row>
    <row r="20" spans="1:6" x14ac:dyDescent="0.3">
      <c r="A20" s="7" t="s">
        <v>47</v>
      </c>
      <c r="B20" s="7" t="s">
        <v>48</v>
      </c>
      <c r="C20" s="7" t="s">
        <v>10</v>
      </c>
      <c r="D20" s="7">
        <v>159</v>
      </c>
      <c r="E20" s="7">
        <f>VLOOKUP(C20,'Salary Master  '!A2:B4,2)*D20</f>
        <v>39750</v>
      </c>
      <c r="F20" s="7">
        <f>E20*HLOOKUP(C20,'Salary Master  '!D1:G2,2,FALSE)</f>
        <v>3975</v>
      </c>
    </row>
    <row r="21" spans="1:6" x14ac:dyDescent="0.3">
      <c r="A21" s="7" t="s">
        <v>49</v>
      </c>
      <c r="B21" s="7" t="s">
        <v>50</v>
      </c>
      <c r="C21" s="7" t="s">
        <v>13</v>
      </c>
      <c r="D21" s="7">
        <v>150</v>
      </c>
      <c r="E21" s="7">
        <f>VLOOKUP(C21,'Salary Master  '!A3:B5,2)*D21</f>
        <v>37500</v>
      </c>
      <c r="F21" s="7">
        <f>E21*HLOOKUP(C21,'Salary Master  '!D1:G2,2,FALSE)</f>
        <v>4500</v>
      </c>
    </row>
    <row r="22" spans="1:6" x14ac:dyDescent="0.3">
      <c r="A22" s="7" t="s">
        <v>51</v>
      </c>
      <c r="B22" s="7" t="s">
        <v>52</v>
      </c>
      <c r="C22" s="7" t="s">
        <v>16</v>
      </c>
      <c r="D22" s="7">
        <v>171</v>
      </c>
      <c r="E22" s="7">
        <f>VLOOKUP(C22,'Salary Master  '!A4:B6,2)*D22</f>
        <v>42750</v>
      </c>
      <c r="F22" s="7">
        <f>E22*HLOOKUP(C22,'Salary Master  '!D1:G2,2,FALSE)</f>
        <v>3420</v>
      </c>
    </row>
    <row r="23" spans="1:6" x14ac:dyDescent="0.3">
      <c r="A23" s="7" t="s">
        <v>53</v>
      </c>
      <c r="B23" s="7" t="s">
        <v>54</v>
      </c>
      <c r="C23" s="7" t="s">
        <v>10</v>
      </c>
      <c r="D23" s="7">
        <v>167</v>
      </c>
      <c r="E23" s="7">
        <f>VLOOKUP(C23,'Salary Master  '!A2:B4,2)*'Employee Data'!D23</f>
        <v>41750</v>
      </c>
      <c r="F23" s="7">
        <f>E23*HLOOKUP(C23,'Salary Master  '!D1:G2,2,FALSE)</f>
        <v>4175</v>
      </c>
    </row>
    <row r="24" spans="1:6" x14ac:dyDescent="0.3">
      <c r="A24" s="7" t="s">
        <v>55</v>
      </c>
      <c r="B24" s="7" t="s">
        <v>56</v>
      </c>
      <c r="C24" s="7" t="s">
        <v>13</v>
      </c>
      <c r="D24" s="7">
        <v>154</v>
      </c>
      <c r="E24" s="7">
        <f>VLOOKUP(C24,'Salary Master  '!A3:B5,2)*'Employee Data'!D24</f>
        <v>38500</v>
      </c>
      <c r="F24" s="7">
        <f>E24*HLOOKUP(C24,'Salary Master  '!D1:G2,2,FALSE)</f>
        <v>4620</v>
      </c>
    </row>
    <row r="25" spans="1:6" x14ac:dyDescent="0.3">
      <c r="A25" s="7" t="s">
        <v>57</v>
      </c>
      <c r="B25" s="7" t="s">
        <v>58</v>
      </c>
      <c r="C25" s="7" t="s">
        <v>16</v>
      </c>
      <c r="D25" s="7">
        <v>165</v>
      </c>
      <c r="E25" s="7">
        <f>VLOOKUP(C25,'Salary Master  '!A4:B6,2)*'Employee Data'!D25</f>
        <v>41250</v>
      </c>
      <c r="F25" s="7">
        <f>E25*HLOOKUP(C25,'Salary Master  '!D1:G2,2,FALSE)</f>
        <v>3300</v>
      </c>
    </row>
    <row r="26" spans="1:6" x14ac:dyDescent="0.3">
      <c r="A26" s="7" t="s">
        <v>59</v>
      </c>
      <c r="B26" s="7" t="s">
        <v>60</v>
      </c>
      <c r="C26" s="7" t="s">
        <v>10</v>
      </c>
      <c r="D26" s="7">
        <v>173</v>
      </c>
      <c r="E26" s="7">
        <f>VLOOKUP(C26,'Salary Master  '!A2:B4,2)*D26</f>
        <v>43250</v>
      </c>
      <c r="F26" s="7">
        <f>E26*HLOOKUP(C26,'Salary Master  '!D1:G2,2,FALSE)</f>
        <v>4325</v>
      </c>
    </row>
    <row r="27" spans="1:6" x14ac:dyDescent="0.3">
      <c r="A27" s="7" t="s">
        <v>61</v>
      </c>
      <c r="B27" s="7" t="s">
        <v>62</v>
      </c>
      <c r="C27" s="7" t="s">
        <v>13</v>
      </c>
      <c r="D27" s="7">
        <v>147</v>
      </c>
      <c r="E27" s="7">
        <f>VLOOKUP(C27,'Salary Master  '!A3:B5,2)*D27</f>
        <v>36750</v>
      </c>
      <c r="F27" s="7">
        <f>E27*HLOOKUP(C27,'Salary Master  '!D1:G2,2,FALSE)</f>
        <v>4410</v>
      </c>
    </row>
    <row r="28" spans="1:6" x14ac:dyDescent="0.3">
      <c r="A28" s="7" t="s">
        <v>63</v>
      </c>
      <c r="B28" s="7" t="s">
        <v>64</v>
      </c>
      <c r="C28" s="7" t="s">
        <v>16</v>
      </c>
      <c r="D28" s="7">
        <v>164</v>
      </c>
      <c r="E28" s="7">
        <f>VLOOKUP(C28,'Salary Master  '!A4:B6,2)*D28</f>
        <v>41000</v>
      </c>
      <c r="F28" s="7">
        <f>E28*HLOOKUP(C28,'Salary Master  '!D1:G2,2,FALSE)</f>
        <v>3280</v>
      </c>
    </row>
    <row r="29" spans="1:6" x14ac:dyDescent="0.3">
      <c r="A29" s="7" t="s">
        <v>65</v>
      </c>
      <c r="B29" s="7" t="s">
        <v>66</v>
      </c>
      <c r="C29" s="7" t="s">
        <v>10</v>
      </c>
      <c r="D29" s="7">
        <v>160</v>
      </c>
      <c r="E29" s="7">
        <f>VLOOKUP(C29,'Salary Master  '!A2:B4,2)*'Employee Data'!D29</f>
        <v>40000</v>
      </c>
      <c r="F29" s="7">
        <f>E29*HLOOKUP(C29,'Salary Master  '!D1:G2,2,FALSE)</f>
        <v>4000</v>
      </c>
    </row>
    <row r="30" spans="1:6" x14ac:dyDescent="0.3">
      <c r="A30" s="7" t="s">
        <v>67</v>
      </c>
      <c r="B30" s="7" t="s">
        <v>68</v>
      </c>
      <c r="C30" s="7" t="s">
        <v>13</v>
      </c>
      <c r="D30" s="7">
        <v>152</v>
      </c>
      <c r="E30" s="7">
        <f>VLOOKUP(C30,'Salary Master  '!A3:B5,2)*'Employee Data'!D30</f>
        <v>38000</v>
      </c>
      <c r="F30" s="7">
        <f>E30*HLOOKUP(C30,'Salary Master  '!D1:G2,2,FALSE)</f>
        <v>4560</v>
      </c>
    </row>
    <row r="31" spans="1:6" x14ac:dyDescent="0.3">
      <c r="A31" s="7" t="s">
        <v>69</v>
      </c>
      <c r="B31" s="7" t="s">
        <v>70</v>
      </c>
      <c r="C31" s="7" t="s">
        <v>16</v>
      </c>
      <c r="D31" s="7">
        <v>169</v>
      </c>
      <c r="E31" s="7">
        <f>VLOOKUP(C31,'Salary Master  '!A4:B6,2)*'Employee Data'!D31</f>
        <v>42250</v>
      </c>
      <c r="F31" s="7">
        <f>E31*HLOOKUP(C31,'Salary Master  '!D1:G2,2,FALSE)</f>
        <v>3380</v>
      </c>
    </row>
    <row r="32" spans="1:6" x14ac:dyDescent="0.3">
      <c r="A32" s="7" t="s">
        <v>71</v>
      </c>
      <c r="B32" s="7" t="s">
        <v>72</v>
      </c>
      <c r="C32" s="7" t="s">
        <v>10</v>
      </c>
      <c r="D32" s="7">
        <v>162</v>
      </c>
      <c r="E32" s="7">
        <f>VLOOKUP(C32,'Salary Master  '!A2:B4,2)*D32</f>
        <v>40500</v>
      </c>
      <c r="F32" s="7">
        <f>E32*HLOOKUP(C32,'Salary Master  '!D1:G2,2,FALSE)</f>
        <v>4050</v>
      </c>
    </row>
    <row r="33" spans="1:6" x14ac:dyDescent="0.3">
      <c r="A33" s="7" t="s">
        <v>73</v>
      </c>
      <c r="B33" s="7" t="s">
        <v>74</v>
      </c>
      <c r="C33" s="7" t="s">
        <v>13</v>
      </c>
      <c r="D33" s="7">
        <v>151</v>
      </c>
      <c r="E33" s="7">
        <f>VLOOKUP(C33,'Salary Master  '!A3:B5,2)*D33</f>
        <v>37750</v>
      </c>
      <c r="F33" s="7">
        <f>E33*HLOOKUP(C33,'Salary Master  '!D1:G2,2,FALSE)</f>
        <v>4530</v>
      </c>
    </row>
    <row r="34" spans="1:6" x14ac:dyDescent="0.3">
      <c r="A34" s="7" t="s">
        <v>75</v>
      </c>
      <c r="B34" s="7" t="s">
        <v>76</v>
      </c>
      <c r="C34" s="7" t="s">
        <v>16</v>
      </c>
      <c r="D34" s="7">
        <v>170</v>
      </c>
      <c r="E34" s="7">
        <f>VLOOKUP(C34,'Salary Master  '!A4:B6,2)*D34</f>
        <v>42500</v>
      </c>
      <c r="F34" s="7">
        <f>E34*HLOOKUP(C34,'Salary Master  '!D1:G2,2,FALSE)</f>
        <v>3400</v>
      </c>
    </row>
    <row r="35" spans="1:6" x14ac:dyDescent="0.3">
      <c r="A35" s="7" t="s">
        <v>77</v>
      </c>
      <c r="B35" s="7" t="s">
        <v>78</v>
      </c>
      <c r="C35" s="7" t="s">
        <v>10</v>
      </c>
      <c r="D35" s="7">
        <v>158</v>
      </c>
      <c r="E35" s="7">
        <f>VLOOKUP(C35,'Salary Master  '!A2:B4,2)*D35</f>
        <v>39500</v>
      </c>
      <c r="F35" s="7">
        <f>E35*HLOOKUP(C35,'Salary Master  '!D1:G2,2,FALSE)</f>
        <v>3950</v>
      </c>
    </row>
    <row r="36" spans="1:6" x14ac:dyDescent="0.3">
      <c r="A36" s="7" t="s">
        <v>79</v>
      </c>
      <c r="B36" s="7" t="s">
        <v>80</v>
      </c>
      <c r="C36" s="7" t="s">
        <v>13</v>
      </c>
      <c r="D36" s="7">
        <v>149</v>
      </c>
      <c r="E36" s="7">
        <f>VLOOKUP(C36,'Salary Master  '!A3:B5,2)*D36</f>
        <v>37250</v>
      </c>
      <c r="F36" s="7">
        <f>E36*HLOOKUP(C36,'Salary Master  '!D1:G2,2,FALSE)</f>
        <v>4470</v>
      </c>
    </row>
    <row r="37" spans="1:6" x14ac:dyDescent="0.3">
      <c r="A37" s="7" t="s">
        <v>81</v>
      </c>
      <c r="B37" s="7" t="s">
        <v>82</v>
      </c>
      <c r="C37" s="7" t="s">
        <v>16</v>
      </c>
      <c r="D37" s="7">
        <v>167</v>
      </c>
      <c r="E37" s="7">
        <f>VLOOKUP(C37,'Salary Master  '!A4:B6,2)*D37</f>
        <v>41750</v>
      </c>
      <c r="F37" s="7">
        <f>E37*HLOOKUP(C37,'Salary Master  '!D1:G2,2,FALSE)</f>
        <v>3340</v>
      </c>
    </row>
    <row r="38" spans="1:6" x14ac:dyDescent="0.3">
      <c r="A38" s="7" t="s">
        <v>83</v>
      </c>
      <c r="B38" s="7" t="s">
        <v>84</v>
      </c>
      <c r="C38" s="7" t="s">
        <v>10</v>
      </c>
      <c r="D38" s="7">
        <v>174</v>
      </c>
      <c r="E38" s="7">
        <f>VLOOKUP(C38,'Salary Master  '!A2:B4,2)*D38</f>
        <v>43500</v>
      </c>
      <c r="F38" s="7">
        <f>E38*HLOOKUP(C38,'Salary Master  '!D1:G2,2,FALSE)</f>
        <v>4350</v>
      </c>
    </row>
    <row r="39" spans="1:6" x14ac:dyDescent="0.3">
      <c r="A39" s="7" t="s">
        <v>85</v>
      </c>
      <c r="B39" s="7" t="s">
        <v>86</v>
      </c>
      <c r="C39" s="7" t="s">
        <v>13</v>
      </c>
      <c r="D39" s="7">
        <v>155</v>
      </c>
      <c r="E39" s="7">
        <f>VLOOKUP(C39,'Salary Master  '!A3:B5,2)*D39</f>
        <v>38750</v>
      </c>
      <c r="F39" s="7">
        <f>E39*HLOOKUP(C39,'Salary Master  '!D1:G2,2,FALSE)</f>
        <v>4650</v>
      </c>
    </row>
    <row r="40" spans="1:6" x14ac:dyDescent="0.3">
      <c r="A40" s="7" t="s">
        <v>87</v>
      </c>
      <c r="B40" s="7" t="s">
        <v>88</v>
      </c>
      <c r="C40" s="7" t="s">
        <v>16</v>
      </c>
      <c r="D40" s="7">
        <v>168</v>
      </c>
      <c r="E40" s="7">
        <f>VLOOKUP(C40,'Salary Master  '!A4:B6,2)*D40</f>
        <v>42000</v>
      </c>
      <c r="F40" s="7">
        <f>E40*HLOOKUP(C40,'Salary Master  '!D1:G2,2,FALSE)</f>
        <v>3360</v>
      </c>
    </row>
    <row r="41" spans="1:6" x14ac:dyDescent="0.3">
      <c r="A41" s="7" t="s">
        <v>89</v>
      </c>
      <c r="B41" s="7" t="s">
        <v>90</v>
      </c>
      <c r="C41" s="7" t="s">
        <v>10</v>
      </c>
      <c r="D41" s="7">
        <v>160</v>
      </c>
      <c r="E41" s="7">
        <f>VLOOKUP(C41,'Salary Master  '!A2:B4,2)*D41</f>
        <v>40000</v>
      </c>
      <c r="F41" s="7">
        <f>E41*HLOOKUP(C41,'Salary Master  '!D1:G2,2,FALSE)</f>
        <v>4000</v>
      </c>
    </row>
    <row r="42" spans="1:6" x14ac:dyDescent="0.3">
      <c r="A42" s="7" t="s">
        <v>91</v>
      </c>
      <c r="B42" s="7" t="s">
        <v>92</v>
      </c>
      <c r="C42" s="7" t="s">
        <v>13</v>
      </c>
      <c r="D42" s="7">
        <v>153</v>
      </c>
      <c r="E42" s="7">
        <f>VLOOKUP(C42,'Salary Master  '!A3:B5,2)*D42</f>
        <v>38250</v>
      </c>
      <c r="F42" s="7">
        <f>E42*HLOOKUP(C42,'Salary Master  '!D1:G2,2,FALSE)</f>
        <v>4590</v>
      </c>
    </row>
    <row r="43" spans="1:6" x14ac:dyDescent="0.3">
      <c r="A43" s="7" t="s">
        <v>93</v>
      </c>
      <c r="B43" s="7" t="s">
        <v>94</v>
      </c>
      <c r="C43" s="7" t="s">
        <v>16</v>
      </c>
      <c r="D43" s="7">
        <v>166</v>
      </c>
      <c r="E43" s="7">
        <f>VLOOKUP(C43,'Salary Master  '!A4:B6,2)*D43</f>
        <v>41500</v>
      </c>
      <c r="F43" s="7">
        <f>E43*HLOOKUP(C43,'Salary Master  '!D1:G2,2,FALSE)</f>
        <v>3320</v>
      </c>
    </row>
    <row r="44" spans="1:6" x14ac:dyDescent="0.3">
      <c r="A44" s="7" t="s">
        <v>95</v>
      </c>
      <c r="B44" s="7" t="s">
        <v>96</v>
      </c>
      <c r="C44" s="7" t="s">
        <v>10</v>
      </c>
      <c r="D44" s="7">
        <v>171</v>
      </c>
      <c r="E44" s="7">
        <f>VLOOKUP(C44,'Salary Master  '!A2:B4,2)*D44</f>
        <v>42750</v>
      </c>
      <c r="F44" s="7">
        <f>E44*HLOOKUP(C44,'Salary Master  '!D1:G2,2,FALSE)</f>
        <v>4275</v>
      </c>
    </row>
    <row r="45" spans="1:6" x14ac:dyDescent="0.3">
      <c r="A45" s="7" t="s">
        <v>97</v>
      </c>
      <c r="B45" s="7" t="s">
        <v>98</v>
      </c>
      <c r="C45" s="7" t="s">
        <v>13</v>
      </c>
      <c r="D45" s="7">
        <v>150</v>
      </c>
      <c r="E45" s="7">
        <f>VLOOKUP(C45,'Salary Master  '!A3:B5,2)*D45</f>
        <v>37500</v>
      </c>
      <c r="F45" s="7">
        <f>E45*HLOOKUP(C45,'Salary Master  '!D1:G2,2,FALSE)</f>
        <v>4500</v>
      </c>
    </row>
    <row r="46" spans="1:6" x14ac:dyDescent="0.3">
      <c r="A46" s="7" t="s">
        <v>99</v>
      </c>
      <c r="B46" s="7" t="s">
        <v>100</v>
      </c>
      <c r="C46" s="7" t="s">
        <v>16</v>
      </c>
      <c r="D46" s="7">
        <v>169</v>
      </c>
      <c r="E46" s="7">
        <f>VLOOKUP(C46,'Salary Master  '!A4:B6,2)*D46</f>
        <v>42250</v>
      </c>
      <c r="F46" s="7">
        <f>E46*HLOOKUP(C46,'Salary Master  '!D1:G2,2,FALSE)</f>
        <v>3380</v>
      </c>
    </row>
    <row r="47" spans="1:6" x14ac:dyDescent="0.3">
      <c r="A47" s="7" t="s">
        <v>101</v>
      </c>
      <c r="B47" s="7" t="s">
        <v>48</v>
      </c>
      <c r="C47" s="7" t="s">
        <v>10</v>
      </c>
      <c r="D47" s="7">
        <v>163</v>
      </c>
      <c r="E47" s="7">
        <f>VLOOKUP(C47,'Salary Master  '!A2:B4,2)*D47</f>
        <v>40750</v>
      </c>
      <c r="F47" s="7">
        <f>E47*HLOOKUP(C47,'Salary Master  '!D1:G2,2,FALSE)</f>
        <v>4075</v>
      </c>
    </row>
    <row r="48" spans="1:6" x14ac:dyDescent="0.3">
      <c r="A48" s="7" t="s">
        <v>102</v>
      </c>
      <c r="B48" s="7" t="s">
        <v>103</v>
      </c>
      <c r="C48" s="7" t="s">
        <v>13</v>
      </c>
      <c r="D48" s="7">
        <v>148</v>
      </c>
      <c r="E48" s="7">
        <f>VLOOKUP(C48,'Salary Master  '!A3:B5,2)*D48</f>
        <v>37000</v>
      </c>
      <c r="F48" s="7">
        <f>E48*HLOOKUP(C48,'Salary Master  '!D1:G2,2,FALSE)</f>
        <v>4440</v>
      </c>
    </row>
    <row r="49" spans="1:6" x14ac:dyDescent="0.3">
      <c r="A49" s="7" t="s">
        <v>104</v>
      </c>
      <c r="B49" s="7" t="s">
        <v>105</v>
      </c>
      <c r="C49" s="7" t="s">
        <v>16</v>
      </c>
      <c r="D49" s="7">
        <v>165</v>
      </c>
      <c r="E49" s="7">
        <f>VLOOKUP(C49,'Salary Master  '!A4:B6,2)*D49</f>
        <v>41250</v>
      </c>
      <c r="F49" s="7">
        <f>E49*HLOOKUP(C49,'Salary Master  '!D1:G2,2,FALSE)</f>
        <v>3300</v>
      </c>
    </row>
    <row r="50" spans="1:6" x14ac:dyDescent="0.3">
      <c r="A50" s="7" t="s">
        <v>106</v>
      </c>
      <c r="B50" s="7" t="s">
        <v>107</v>
      </c>
      <c r="C50" s="7" t="s">
        <v>10</v>
      </c>
      <c r="D50" s="7">
        <v>172</v>
      </c>
      <c r="E50" s="7">
        <f>VLOOKUP(C50,'Salary Master  '!A2:B4,2)*D50</f>
        <v>43000</v>
      </c>
      <c r="F50" s="7">
        <f>E50*HLOOKUP(C50,'Salary Master  '!D1:G2,2,FALSE)</f>
        <v>4300</v>
      </c>
    </row>
    <row r="51" spans="1:6" x14ac:dyDescent="0.3">
      <c r="A51" s="7" t="s">
        <v>108</v>
      </c>
      <c r="B51" s="7" t="s">
        <v>109</v>
      </c>
      <c r="C51" s="7" t="s">
        <v>13</v>
      </c>
      <c r="D51" s="7">
        <v>154</v>
      </c>
      <c r="E51" s="7">
        <f>VLOOKUP(C51,'Salary Master  '!A3:B5,2)*D51</f>
        <v>38500</v>
      </c>
      <c r="F51" s="7">
        <f>E51*HLOOKUP(C51,'Salary Master  '!D1:G2,2,FALSE)</f>
        <v>4620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5638-0090-4078-993A-CE78B89D5B23}">
  <dimension ref="A1:H8"/>
  <sheetViews>
    <sheetView workbookViewId="0">
      <selection activeCell="D8" sqref="D8"/>
    </sheetView>
  </sheetViews>
  <sheetFormatPr defaultRowHeight="14.4" x14ac:dyDescent="0.3"/>
  <cols>
    <col min="1" max="1" width="13.33203125" customWidth="1"/>
    <col min="2" max="2" width="15.44140625" customWidth="1"/>
    <col min="3" max="3" width="23.33203125" customWidth="1"/>
    <col min="4" max="4" width="18.88671875" customWidth="1"/>
    <col min="5" max="5" width="13.21875" customWidth="1"/>
    <col min="6" max="6" width="12.88671875" customWidth="1"/>
    <col min="7" max="7" width="13.6640625" customWidth="1"/>
    <col min="8" max="8" width="23.21875" customWidth="1"/>
  </cols>
  <sheetData>
    <row r="1" spans="1:8" x14ac:dyDescent="0.3">
      <c r="A1" s="8" t="s">
        <v>2</v>
      </c>
      <c r="B1" s="8" t="s">
        <v>110</v>
      </c>
      <c r="C1" s="8" t="s">
        <v>111</v>
      </c>
      <c r="D1" s="9" t="s">
        <v>112</v>
      </c>
      <c r="E1" s="9" t="s">
        <v>10</v>
      </c>
      <c r="F1" s="9" t="s">
        <v>13</v>
      </c>
      <c r="G1" s="9" t="s">
        <v>16</v>
      </c>
      <c r="H1" s="9" t="s">
        <v>113</v>
      </c>
    </row>
    <row r="2" spans="1:8" x14ac:dyDescent="0.3">
      <c r="A2" s="8" t="s">
        <v>10</v>
      </c>
      <c r="B2" s="8">
        <v>200</v>
      </c>
      <c r="C2" s="8"/>
      <c r="D2" s="9" t="s">
        <v>5</v>
      </c>
      <c r="E2" s="10">
        <v>0.1</v>
      </c>
      <c r="F2" s="10">
        <v>0.12</v>
      </c>
      <c r="G2" s="10">
        <v>0.08</v>
      </c>
      <c r="H2" s="9"/>
    </row>
    <row r="3" spans="1:8" x14ac:dyDescent="0.3">
      <c r="A3" s="8" t="s">
        <v>13</v>
      </c>
      <c r="B3" s="8">
        <v>300</v>
      </c>
      <c r="C3" s="8"/>
    </row>
    <row r="4" spans="1:8" x14ac:dyDescent="0.3">
      <c r="A4" s="8" t="s">
        <v>16</v>
      </c>
      <c r="B4" s="8">
        <v>250</v>
      </c>
      <c r="C4" s="8"/>
    </row>
    <row r="8" spans="1:8" x14ac:dyDescent="0.3">
      <c r="B8" s="1"/>
      <c r="C8" s="1"/>
      <c r="D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2F57-81EC-4BFC-B2C1-339561F796E3}">
  <dimension ref="A1:F25"/>
  <sheetViews>
    <sheetView workbookViewId="0">
      <selection activeCell="H21" sqref="H21"/>
    </sheetView>
  </sheetViews>
  <sheetFormatPr defaultRowHeight="14.4" x14ac:dyDescent="0.3"/>
  <cols>
    <col min="1" max="1" width="14.21875" customWidth="1"/>
    <col min="2" max="2" width="15.109375" customWidth="1"/>
    <col min="6" max="6" width="33.109375" customWidth="1"/>
  </cols>
  <sheetData>
    <row r="1" spans="1:6" x14ac:dyDescent="0.3">
      <c r="A1" s="13" t="s">
        <v>114</v>
      </c>
      <c r="B1" s="11"/>
    </row>
    <row r="2" spans="1:6" x14ac:dyDescent="0.3">
      <c r="A2" s="11" t="s">
        <v>115</v>
      </c>
      <c r="B2" s="11">
        <f>SUM('Employee Data'!E2:E51)</f>
        <v>2011500</v>
      </c>
    </row>
    <row r="3" spans="1:6" x14ac:dyDescent="0.3">
      <c r="A3" s="11" t="s">
        <v>116</v>
      </c>
      <c r="B3" s="11">
        <f>SUM('Employee Data'!F2:F51)</f>
        <v>200910</v>
      </c>
    </row>
    <row r="4" spans="1:6" ht="18" x14ac:dyDescent="0.3">
      <c r="F4" s="12" t="s">
        <v>120</v>
      </c>
    </row>
    <row r="5" spans="1:6" x14ac:dyDescent="0.3">
      <c r="A5" s="2" t="s">
        <v>117</v>
      </c>
      <c r="B5" t="s">
        <v>119</v>
      </c>
    </row>
    <row r="6" spans="1:6" x14ac:dyDescent="0.3">
      <c r="A6" s="3" t="s">
        <v>16</v>
      </c>
      <c r="B6" s="4">
        <v>664500</v>
      </c>
    </row>
    <row r="7" spans="1:6" x14ac:dyDescent="0.3">
      <c r="A7" s="3" t="s">
        <v>13</v>
      </c>
      <c r="B7" s="4">
        <v>652500</v>
      </c>
    </row>
    <row r="8" spans="1:6" x14ac:dyDescent="0.3">
      <c r="A8" s="3" t="s">
        <v>10</v>
      </c>
      <c r="B8" s="4">
        <v>694500</v>
      </c>
    </row>
    <row r="9" spans="1:6" x14ac:dyDescent="0.3">
      <c r="A9" s="3" t="s">
        <v>118</v>
      </c>
      <c r="B9" s="4">
        <v>2011500</v>
      </c>
    </row>
    <row r="21" spans="1:6" x14ac:dyDescent="0.3">
      <c r="A21" s="2" t="s">
        <v>117</v>
      </c>
      <c r="B21" t="s">
        <v>121</v>
      </c>
    </row>
    <row r="22" spans="1:6" ht="18" x14ac:dyDescent="0.3">
      <c r="A22" s="3" t="s">
        <v>16</v>
      </c>
      <c r="B22" s="4">
        <v>53160</v>
      </c>
      <c r="F22" s="12" t="s">
        <v>122</v>
      </c>
    </row>
    <row r="23" spans="1:6" x14ac:dyDescent="0.3">
      <c r="A23" s="3" t="s">
        <v>13</v>
      </c>
      <c r="B23" s="4">
        <v>78300</v>
      </c>
    </row>
    <row r="24" spans="1:6" x14ac:dyDescent="0.3">
      <c r="A24" s="3" t="s">
        <v>10</v>
      </c>
      <c r="B24" s="4">
        <v>69450</v>
      </c>
    </row>
    <row r="25" spans="1:6" x14ac:dyDescent="0.3">
      <c r="A25" s="3" t="s">
        <v>118</v>
      </c>
      <c r="B25" s="4">
        <v>200910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Salary Master  </vt:lpstr>
      <vt:lpstr>MIS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2026-04-17T02:59:49Z</dcterms:created>
  <dcterms:modified xsi:type="dcterms:W3CDTF">2026-04-17T03:55:03Z</dcterms:modified>
</cp:coreProperties>
</file>